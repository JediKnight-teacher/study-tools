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192.168.10.110\disk1\012_My Documents\◆転職\ベネッセ\採択教科書\"/>
    </mc:Choice>
  </mc:AlternateContent>
  <xr:revisionPtr revIDLastSave="0" documentId="13_ncr:1_{FDF134F8-8B35-42EB-B2A2-13E1E387D620}" xr6:coauthVersionLast="47" xr6:coauthVersionMax="47" xr10:uidLastSave="{00000000-0000-0000-0000-000000000000}"/>
  <bookViews>
    <workbookView xWindow="-103" yWindow="-103" windowWidth="22149" windowHeight="13200" activeTab="2" xr2:uid="{00000000-000D-0000-FFFF-FFFF00000000}"/>
  </bookViews>
  <sheets>
    <sheet name="小学校" sheetId="1" r:id="rId1"/>
    <sheet name="中学校" sheetId="2" r:id="rId2"/>
    <sheet name="小学単元" sheetId="4" r:id="rId3"/>
    <sheet name="中学単元" sheetId="5" r:id="rId4"/>
  </sheets>
  <definedNames>
    <definedName name="_xlnm._FilterDatabase" localSheetId="0" hidden="1">小学校!$A$4:$D$20</definedName>
    <definedName name="_xlnm._FilterDatabase" localSheetId="2" hidden="1">小学単元!$A$1:$H$1</definedName>
    <definedName name="_xlnm._FilterDatabase" localSheetId="3" hidden="1">中学単元!$A$1:$H$1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2" l="1"/>
  <c r="M19" i="2"/>
  <c r="K19" i="2"/>
  <c r="I19" i="2"/>
  <c r="G19" i="2"/>
  <c r="E19" i="2"/>
  <c r="O18" i="2"/>
  <c r="M18" i="2"/>
  <c r="K18" i="2"/>
  <c r="I18" i="2"/>
  <c r="G18" i="2"/>
  <c r="E18" i="2"/>
  <c r="O17" i="2"/>
  <c r="M17" i="2"/>
  <c r="K17" i="2"/>
  <c r="I17" i="2"/>
  <c r="G17" i="2"/>
  <c r="E17" i="2"/>
  <c r="O16" i="2"/>
  <c r="M16" i="2"/>
  <c r="K16" i="2"/>
  <c r="I16" i="2"/>
  <c r="G16" i="2"/>
  <c r="E16" i="2"/>
  <c r="O15" i="2"/>
  <c r="M15" i="2"/>
  <c r="K15" i="2"/>
  <c r="I15" i="2"/>
  <c r="G15" i="2"/>
  <c r="E15" i="2"/>
  <c r="O14" i="2"/>
  <c r="M14" i="2"/>
  <c r="K14" i="2"/>
  <c r="I14" i="2"/>
  <c r="G14" i="2"/>
  <c r="E14" i="2"/>
  <c r="O13" i="2"/>
  <c r="M13" i="2"/>
  <c r="K13" i="2"/>
  <c r="I13" i="2"/>
  <c r="G13" i="2"/>
  <c r="E13" i="2"/>
  <c r="O12" i="2"/>
  <c r="M12" i="2"/>
  <c r="K12" i="2"/>
  <c r="I12" i="2"/>
  <c r="G12" i="2"/>
  <c r="E12" i="2"/>
  <c r="O11" i="2"/>
  <c r="M11" i="2"/>
  <c r="K11" i="2"/>
  <c r="I11" i="2"/>
  <c r="G11" i="2"/>
  <c r="E11" i="2"/>
  <c r="O10" i="2"/>
  <c r="M10" i="2"/>
  <c r="K10" i="2"/>
  <c r="I10" i="2"/>
  <c r="G10" i="2"/>
  <c r="E10" i="2"/>
  <c r="O9" i="2"/>
  <c r="M9" i="2"/>
  <c r="K9" i="2"/>
  <c r="I9" i="2"/>
  <c r="G9" i="2"/>
  <c r="E9" i="2"/>
  <c r="O8" i="2"/>
  <c r="M8" i="2"/>
  <c r="K8" i="2"/>
  <c r="I8" i="2"/>
  <c r="G8" i="2"/>
  <c r="E8" i="2"/>
  <c r="O7" i="2"/>
  <c r="M7" i="2"/>
  <c r="K7" i="2"/>
  <c r="I7" i="2"/>
  <c r="G7" i="2"/>
  <c r="E7" i="2"/>
  <c r="O6" i="2"/>
  <c r="M6" i="2"/>
  <c r="K6" i="2"/>
  <c r="I6" i="2"/>
  <c r="G6" i="2"/>
  <c r="E6" i="2"/>
  <c r="O5" i="2"/>
  <c r="M5" i="2"/>
  <c r="K5" i="2"/>
  <c r="I5" i="2"/>
  <c r="G5" i="2"/>
  <c r="E5" i="2"/>
  <c r="I17" i="1"/>
  <c r="I16" i="1"/>
  <c r="I15" i="1"/>
  <c r="I14" i="1"/>
  <c r="I13" i="1"/>
  <c r="I12" i="1"/>
  <c r="I11" i="1"/>
  <c r="I10" i="1"/>
  <c r="I9" i="1"/>
  <c r="I8" i="1"/>
  <c r="I7" i="1"/>
  <c r="I6" i="1"/>
  <c r="I5" i="1"/>
  <c r="K17" i="1"/>
  <c r="K16" i="1"/>
  <c r="K15" i="1"/>
  <c r="K14" i="1"/>
  <c r="K13" i="1"/>
  <c r="K12" i="1"/>
  <c r="K11" i="1"/>
  <c r="K10" i="1"/>
  <c r="K9" i="1"/>
  <c r="K8" i="1"/>
  <c r="K7" i="1"/>
  <c r="K6" i="1"/>
  <c r="K5" i="1"/>
  <c r="M17" i="1"/>
  <c r="M16" i="1"/>
  <c r="M15" i="1"/>
  <c r="M14" i="1"/>
  <c r="M13" i="1"/>
  <c r="M12" i="1"/>
  <c r="M11" i="1"/>
  <c r="M10" i="1"/>
  <c r="M9" i="1"/>
  <c r="M8" i="1"/>
  <c r="M7" i="1"/>
  <c r="M6" i="1"/>
  <c r="M5" i="1"/>
  <c r="G17" i="1"/>
  <c r="G16" i="1"/>
  <c r="G15" i="1"/>
  <c r="G14" i="1"/>
  <c r="G13" i="1"/>
  <c r="G12" i="1"/>
  <c r="G11" i="1"/>
  <c r="G10" i="1"/>
  <c r="G9" i="1"/>
  <c r="G8" i="1"/>
  <c r="G7" i="1"/>
  <c r="G6" i="1"/>
  <c r="G5" i="1"/>
  <c r="O8" i="1"/>
  <c r="E8" i="1"/>
  <c r="O6" i="1"/>
  <c r="O17" i="1"/>
  <c r="O15" i="1"/>
  <c r="O14" i="1"/>
  <c r="O13" i="1"/>
  <c r="O12" i="1"/>
  <c r="O11" i="1"/>
  <c r="O16" i="1"/>
  <c r="O10" i="1"/>
  <c r="O7" i="1"/>
  <c r="O9" i="1"/>
  <c r="O5" i="1"/>
  <c r="E6" i="1"/>
  <c r="E17" i="1"/>
  <c r="E15" i="1"/>
  <c r="E14" i="1"/>
  <c r="E13" i="1"/>
  <c r="E12" i="1"/>
  <c r="E11" i="1"/>
  <c r="E16" i="1"/>
  <c r="E10" i="1"/>
  <c r="E7" i="1"/>
  <c r="E9" i="1"/>
  <c r="E5" i="1"/>
</calcChain>
</file>

<file path=xl/sharedStrings.xml><?xml version="1.0" encoding="utf-8"?>
<sst xmlns="http://schemas.openxmlformats.org/spreadsheetml/2006/main" count="2529" uniqueCount="1518">
  <si>
    <t>教科</t>
  </si>
  <si>
    <t>出版社</t>
  </si>
  <si>
    <t>備考</t>
  </si>
  <si>
    <t>国語</t>
  </si>
  <si>
    <t>光村図書</t>
  </si>
  <si>
    <t>1年生〜</t>
  </si>
  <si>
    <t>書写（習字）も光村図書です</t>
  </si>
  <si>
    <t>算数</t>
  </si>
  <si>
    <t>東京書籍</t>
  </si>
  <si>
    <t>社会</t>
  </si>
  <si>
    <t>3年生〜</t>
  </si>
  <si>
    <t>理科</t>
  </si>
  <si>
    <t>NEW HORIZON Elementary</t>
  </si>
  <si>
    <t>生活</t>
  </si>
  <si>
    <t>1・2年生</t>
  </si>
  <si>
    <t>3年生から理科・社会に分かれます</t>
  </si>
  <si>
    <t>音楽</t>
  </si>
  <si>
    <t>教育芸術社</t>
  </si>
  <si>
    <t>図工</t>
  </si>
  <si>
    <t>日本文教</t>
  </si>
  <si>
    <t>家庭</t>
  </si>
  <si>
    <t>5年生〜</t>
  </si>
  <si>
    <t>保健</t>
  </si>
  <si>
    <t>体育の実技と併用</t>
  </si>
  <si>
    <t>道徳</t>
  </si>
  <si>
    <t>1. いわき市立 小学校（2024年度〜2027年度使用分）</t>
  </si>
  <si>
    <t>ポイント:</t>
  </si>
  <si>
    <t>2. いわき市立 中学校（2025年度〜2028年度使用分）</t>
  </si>
  <si>
    <t>数学</t>
  </si>
  <si>
    <t>代数・幾何</t>
  </si>
  <si>
    <t>一般・器楽</t>
  </si>
  <si>
    <t>美術</t>
  </si>
  <si>
    <t>保健体育</t>
  </si>
  <si>
    <t>技術</t>
  </si>
  <si>
    <t>・小学校で「東京書籍」の教科書を使っていた場合、中学校でも同じ出版社の教科書になるため、</t>
    <phoneticPr fontId="2"/>
  </si>
  <si>
    <t>・英語活動は3・4年生から始まり、5・6年生で正式な教科となりますが、</t>
    <phoneticPr fontId="2"/>
  </si>
  <si>
    <t>　教科書は3年生から配布されます。</t>
    <phoneticPr fontId="2"/>
  </si>
  <si>
    <t>　用語や解説のスタイルに継続性があり、子どもたちが馴染みやすい構成になっています。</t>
    <phoneticPr fontId="2"/>
  </si>
  <si>
    <t>中学校の教科書は、**令和7年度（2025年4月）から新しい内容（改訂版）**に切り替わります。</t>
    <phoneticPr fontId="2"/>
  </si>
  <si>
    <t>小学校の教科書は、令和6年度（2024年）に改訂されたものが使われています。</t>
    <phoneticPr fontId="2"/>
  </si>
  <si>
    <t>https://www.mitsumura-tosho.co.jp/kyokasho/s-kokugo/keikaku</t>
    <phoneticPr fontId="2"/>
  </si>
  <si>
    <t>学習指導要領</t>
    <phoneticPr fontId="2"/>
  </si>
  <si>
    <t>https://www.mitsumura-tosho.co.jp/kyokasho/c-kokugo/keikaku</t>
    <phoneticPr fontId="2"/>
  </si>
  <si>
    <t>光村図書</t>
    <phoneticPr fontId="2"/>
  </si>
  <si>
    <t>1・2年は硬筆（鉛筆や水筆）、3年から毛筆（習字セット）</t>
    <phoneticPr fontId="2"/>
  </si>
  <si>
    <t>書写</t>
    <phoneticPr fontId="2"/>
  </si>
  <si>
    <t>1・2・3年で1冊</t>
    <phoneticPr fontId="2"/>
  </si>
  <si>
    <t>https://www.mitsumura-tosho.co.jp/kyokasho/c-shosha/keikaku</t>
    <phoneticPr fontId="2"/>
  </si>
  <si>
    <t>https://assets.mitsumura-tosho.co.jp/3016/8048/5595/06s_s_tangen.pdf</t>
    <phoneticPr fontId="2"/>
  </si>
  <si>
    <t>https://assets.mitsumura-tosho.co.jp/7416/8024/9456/06s_k_tangen.pdf</t>
    <phoneticPr fontId="2"/>
  </si>
  <si>
    <t>https://www.gaccom.jp/search/p7/c204_public_es/textbook/</t>
    <phoneticPr fontId="2"/>
  </si>
  <si>
    <t>https://www.gaccom.jp/search/p7/c204_public_js/textbook/</t>
    <phoneticPr fontId="2"/>
  </si>
  <si>
    <t>参考URL</t>
    <rPh sb="0" eb="2">
      <t>サンコウ</t>
    </rPh>
    <phoneticPr fontId="2"/>
  </si>
  <si>
    <t>https://ten.tokyo-shoseki.co.jp/text/shou/sansu/keikaku/</t>
  </si>
  <si>
    <t>https://ten.tokyo-shoseki.co.jp/text/shou/shakai/keikaku/</t>
  </si>
  <si>
    <t>https://ten.tokyo-shoseki.co.jp/text/shou/rika/keikaku/</t>
  </si>
  <si>
    <t>https://ten.tokyo-shoseki.co.jp/text/shou/eigo/keikaku/</t>
  </si>
  <si>
    <t>https://ten.tokyo-shoseki.co.jp/text/shou/seikatsu/keikaku/</t>
  </si>
  <si>
    <t>https://ten.tokyo-shoseki.co.jp/text/shou/katei/keikaku/</t>
  </si>
  <si>
    <t>https://ten.tokyo-shoseki.co.jp/text/shou/hoken/keikaku/</t>
  </si>
  <si>
    <t>https://ten.tokyo-shoseki.co.jp/text/shou/doutoku/keikaku/</t>
  </si>
  <si>
    <r>
      <t>英語</t>
    </r>
    <r>
      <rPr>
        <sz val="11"/>
        <color rgb="FF1F1F1F"/>
        <rFont val="ＭＳ ゴシック"/>
        <family val="3"/>
        <charset val="128"/>
      </rPr>
      <t>(外国語)</t>
    </r>
    <phoneticPr fontId="2"/>
  </si>
  <si>
    <t>https://ten.tokyo-shoseki.co.jp/text/shou/shosha/keikaku/</t>
  </si>
  <si>
    <t>地図</t>
    <rPh sb="0" eb="2">
      <t>チズ</t>
    </rPh>
    <phoneticPr fontId="2"/>
  </si>
  <si>
    <t>地図帳は帝国書院（4年生〜）</t>
    <phoneticPr fontId="2"/>
  </si>
  <si>
    <t>帝国書院</t>
    <phoneticPr fontId="2"/>
  </si>
  <si>
    <t>4年生〜</t>
    <phoneticPr fontId="2"/>
  </si>
  <si>
    <t>教育出版</t>
    <phoneticPr fontId="2"/>
  </si>
  <si>
    <t>地理</t>
    <phoneticPr fontId="2"/>
  </si>
  <si>
    <t>日本文教出版</t>
    <phoneticPr fontId="2"/>
  </si>
  <si>
    <t>技術</t>
    <phoneticPr fontId="2"/>
  </si>
  <si>
    <t>家庭</t>
    <phoneticPr fontId="2"/>
  </si>
  <si>
    <t>三省堂</t>
    <phoneticPr fontId="2"/>
  </si>
  <si>
    <t>HP</t>
    <phoneticPr fontId="2"/>
  </si>
  <si>
    <t>https://www.mitsumura-tosho.co.jp/kyokasho/c-kokugo</t>
    <phoneticPr fontId="2"/>
  </si>
  <si>
    <t>https://www.mitsumura-tosho.co.jp/kyokasho/c-shosha</t>
    <phoneticPr fontId="2"/>
  </si>
  <si>
    <t>https://ten.tokyo-shoseki.co.jp/text/shou/shosha/</t>
    <phoneticPr fontId="2"/>
  </si>
  <si>
    <t>https://ten.tokyo-shoseki.co.jp/text/shou/shakai/</t>
    <phoneticPr fontId="2"/>
  </si>
  <si>
    <t>https://ten.tokyo-shoseki.co.jp/text/shou/sansu/</t>
    <phoneticPr fontId="2"/>
  </si>
  <si>
    <t>https://ten.tokyo-shoseki.co.jp/text/shou/rika/</t>
    <phoneticPr fontId="2"/>
  </si>
  <si>
    <t>https://ten.tokyo-shoseki.co.jp/text/shou/seikatsu/</t>
    <phoneticPr fontId="2"/>
  </si>
  <si>
    <t>https://ten.tokyo-shoseki.co.jp/text/shou/katei/</t>
    <phoneticPr fontId="2"/>
  </si>
  <si>
    <t>https://ten.tokyo-shoseki.co.jp/text/shou/hoken/</t>
  </si>
  <si>
    <t>https://ten.tokyo-shoseki.co.jp/text/shou/eigo/</t>
  </si>
  <si>
    <t>https://ten.tokyo-shoseki.co.jp/text/shou/doutoku/</t>
  </si>
  <si>
    <t>https://www.mitsumura-tosho.co.jp/kyokasho/s-kokugo</t>
  </si>
  <si>
    <t>https://ten.tokyo-shoseki.co.jp/text/shou/download/sansu/</t>
  </si>
  <si>
    <t>https://ten.tokyo-shoseki.co.jp/text/shou/download/shakai/</t>
  </si>
  <si>
    <t>https://ten.tokyo-shoseki.co.jp/text/shou/download/rika/</t>
  </si>
  <si>
    <t>https://ten.tokyo-shoseki.co.jp/text/shou/download/seikatsu/</t>
  </si>
  <si>
    <t>https://ten.tokyo-shoseki.co.jp/text/shou/download/katei/</t>
  </si>
  <si>
    <t>https://ten.tokyo-shoseki.co.jp/text/shou/download/hoken/</t>
  </si>
  <si>
    <t>https://ten.tokyo-shoseki.co.jp/text/shou/download/eigo/</t>
  </si>
  <si>
    <t>https://ten.tokyo-shoseki.co.jp/text/shou/download/doutoku/</t>
  </si>
  <si>
    <t>https://www.teikokushoin.co.jp/junior/guidance-book/detail/56/</t>
  </si>
  <si>
    <t>https://www.kyoiku-shuppan.co.jp/textbook/shou/ongaku/index.html</t>
  </si>
  <si>
    <t>音楽のおくりもの</t>
    <rPh sb="0" eb="2">
      <t>オンガク</t>
    </rPh>
    <phoneticPr fontId="2"/>
  </si>
  <si>
    <t>https://www.kyoiku-shuppan.co.jp/textbook/shou/ongaku/document/ducu1/r6plan.html</t>
  </si>
  <si>
    <t>https://www.kyoiku-shuppan.co.jp/r6shou/ongaku/index.html</t>
  </si>
  <si>
    <t>https://www.nichibun-g.co.jp/textbooks/zuko/</t>
  </si>
  <si>
    <t>https://www.nichibun-g.co.jp/textbooks/c-bi/</t>
    <phoneticPr fontId="2"/>
  </si>
  <si>
    <t>NEW CROWN</t>
    <phoneticPr fontId="2"/>
  </si>
  <si>
    <t>https://tb.sanseido-publ.co.jp/j-school/js-english/</t>
    <phoneticPr fontId="2"/>
  </si>
  <si>
    <t>https://www.kyoiku-shuppan.co.jp/textbook/chuu/dotoku/index.html</t>
    <phoneticPr fontId="2"/>
  </si>
  <si>
    <t>https://www.kyoiku-shuppan.co.jp/textbook/chuu/dotoku/document/ducu3/s-index.html</t>
  </si>
  <si>
    <t>歴史</t>
    <phoneticPr fontId="2"/>
  </si>
  <si>
    <t>公民</t>
    <phoneticPr fontId="2"/>
  </si>
  <si>
    <t>https://ten.tokyo-shoseki.co.jp/text/chu/shakai/rekishi/</t>
  </si>
  <si>
    <t>https://ten.tokyo-shoseki.co.jp/text/chu/shakai/komin/</t>
  </si>
  <si>
    <t>https://ten.tokyo-shoseki.co.jp/text/chu/sugaku/</t>
  </si>
  <si>
    <t>https://ten.tokyo-shoseki.co.jp/text/chu/rika/</t>
  </si>
  <si>
    <t>新しい科学</t>
    <phoneticPr fontId="2"/>
  </si>
  <si>
    <t>新しい社会 公民</t>
    <phoneticPr fontId="2"/>
  </si>
  <si>
    <t>新しい社会 歴史</t>
    <phoneticPr fontId="2"/>
  </si>
  <si>
    <t>新しい数学</t>
    <phoneticPr fontId="2"/>
  </si>
  <si>
    <t>新しい保健体育</t>
    <phoneticPr fontId="2"/>
  </si>
  <si>
    <t>新しい技術・家庭 技術分野</t>
    <phoneticPr fontId="2"/>
  </si>
  <si>
    <t>新しい技術・家庭 家庭分野</t>
    <phoneticPr fontId="2"/>
  </si>
  <si>
    <t>https://ten.tokyo-shoseki.co.jp/text/chu/katei/</t>
  </si>
  <si>
    <t>https://ten.tokyo-shoseki.co.jp/text/chu/gijutsu/</t>
  </si>
  <si>
    <t>https://ten.tokyo-shoseki.co.jp/text/chu/hotai/</t>
  </si>
  <si>
    <t>https://www.nichibun-g.co.jp/textbooks/zuko/?0</t>
  </si>
  <si>
    <t>https://www.mitsumura-tosho.co.jp/kyokasho/c-kokugo/material1nen</t>
  </si>
  <si>
    <t>https://m-manabi.jp/07c/shosha/</t>
  </si>
  <si>
    <t>中学生の音楽・中学生の器楽</t>
    <phoneticPr fontId="2"/>
  </si>
  <si>
    <t>中学校 美術</t>
    <phoneticPr fontId="2"/>
  </si>
  <si>
    <t>中学校 道徳</t>
    <phoneticPr fontId="2"/>
  </si>
  <si>
    <t>小学校 図画工作</t>
    <phoneticPr fontId="2"/>
  </si>
  <si>
    <t>https://www.nichibun-g.co.jp/textbooks/c-bi/download/r7/r7_c-bi_nenkei1.pdf</t>
    <phoneticPr fontId="2"/>
  </si>
  <si>
    <t>英語</t>
    <phoneticPr fontId="2"/>
  </si>
  <si>
    <t>https://www.kyogei.co.jp/textbook/jh/#introduce</t>
  </si>
  <si>
    <t>https://textbook.kyogei.co.jp/2025jh/</t>
  </si>
  <si>
    <t>https://www.mitsumura-tosho.co.jp/kyokasho/c-kokugo/material2nen</t>
  </si>
  <si>
    <t>https://www.mitsumura-tosho.co.jp/kyokasho/c-kokugo/material3nen</t>
  </si>
  <si>
    <t>資料1</t>
    <phoneticPr fontId="2"/>
  </si>
  <si>
    <t>資料2</t>
    <phoneticPr fontId="2"/>
  </si>
  <si>
    <t>資料3</t>
    <phoneticPr fontId="2"/>
  </si>
  <si>
    <t>https://www.kyogei.co.jp/textbook/jh/document/#id1</t>
  </si>
  <si>
    <t>https://www.mitsumura-tosho.co.jp/kyokasho/common/shosha-shodo-link</t>
  </si>
  <si>
    <t>https://www.kyogei.co.jp/textbook/jh/document/#list</t>
  </si>
  <si>
    <t>https://www.teikokushoin.co.jp/junior/textbook/detail/57/</t>
  </si>
  <si>
    <t>https://www.teikokushoin.co.jp/files/product1/07中図中社/令和７年度版_中学生の地理_年間指導計画案.xlsx</t>
  </si>
  <si>
    <t>https://ict.teikokushoin.co.jp/07jh_qr/geo/index.html</t>
  </si>
  <si>
    <t>地図帳も帝国書院</t>
    <phoneticPr fontId="2"/>
  </si>
  <si>
    <t>https://ten.tokyo-shoseki.co.jp/text/chu/list/keikaku/#shakai</t>
  </si>
  <si>
    <t>https://ten.tokyo-shoseki.co.jp/text/chu/shakai/rekishi/download/documents/R7shakai_rekishi_keikaku.xlsx?20250130</t>
    <phoneticPr fontId="2"/>
  </si>
  <si>
    <t>https://ten.tokyo-shoseki.co.jp/text/chu/shakai/komin/download/documents/R7shakai_koumin_keikaku.xlsx?20250130</t>
  </si>
  <si>
    <t>https://ten.tokyo-shoseki.co.jp/text/chu/list/keikaku/#sugaku</t>
  </si>
  <si>
    <t>https://ten.tokyo-shoseki.co.jp/text/chu/list/keikaku/#rika</t>
  </si>
  <si>
    <t>https://ten.tokyo-shoseki.co.jp/text/chu/list/keikaku/#hotai</t>
  </si>
  <si>
    <t>https://ten.tokyo-shoseki.co.jp/text/chu/list/keikaku/#gijutsu</t>
  </si>
  <si>
    <t>https://ten.tokyo-shoseki.co.jp/text/chu/list/keikaku/#katei</t>
  </si>
  <si>
    <t>https://tb.sanseido-publ.co.jp/wp-sanseido/wp-content/themes/sanseido/images/j-school/js-english/07nc_curric.xlsx</t>
    <phoneticPr fontId="2"/>
  </si>
  <si>
    <t>https://tbqr.sanseido-publ.co.jp/07nc1/contents/</t>
  </si>
  <si>
    <t>https://tbqr.sanseido-publ.co.jp/07nc2/contents/</t>
  </si>
  <si>
    <t>https://tbqr.sanseido-publ.co.jp/07nc3/contents/</t>
  </si>
  <si>
    <t>https://www.kyoiku-shuppan.co.jp/textbook/chuu/dotoku/document/ducu1/r7plan.html</t>
  </si>
  <si>
    <t>https://ten.tokyo-shoseki.co.jp/text/shou/download/shosha/</t>
  </si>
  <si>
    <t>https://ten.tokyo-shoseki.co.jp/text/shou/shosha/oshi-con/</t>
  </si>
  <si>
    <t>3年生</t>
    <phoneticPr fontId="2"/>
  </si>
  <si>
    <t>NEW HORIZON</t>
    <phoneticPr fontId="2"/>
  </si>
  <si>
    <t>https://ten.tokyo-shoseki.co.jp/text/chu/list/keikaku/#eigo</t>
    <phoneticPr fontId="2"/>
  </si>
  <si>
    <t>https://ten.tokyo-shoseki.co.jp/text/chu/eigo/</t>
  </si>
  <si>
    <t>https://www.kyoiku-shuppan.co.jp/m-link24/ongaku/index.html</t>
  </si>
  <si>
    <t>https://www.nichibun-g.co.jp/textbooks/zuko/useful/#useful01</t>
  </si>
  <si>
    <t>https://www.nichibun-g.co.jp/textbooks/zuko/channel/</t>
  </si>
  <si>
    <t>年間
指導計画</t>
    <phoneticPr fontId="2"/>
  </si>
  <si>
    <t>全学年</t>
  </si>
  <si>
    <t>使用開始学年</t>
    <phoneticPr fontId="2"/>
  </si>
  <si>
    <t>分野・学年</t>
    <phoneticPr fontId="2"/>
  </si>
  <si>
    <t>学年</t>
  </si>
  <si>
    <t>実施月</t>
  </si>
  <si>
    <t>単元名（教材名）</t>
  </si>
  <si>
    <t>時数</t>
  </si>
  <si>
    <t>指導目標</t>
  </si>
  <si>
    <t>主な学習活動</t>
  </si>
  <si>
    <t>評価基準</t>
  </si>
  <si>
    <t>1年</t>
  </si>
  <si>
    <t>2026年4月</t>
  </si>
  <si>
    <t>どうぞよろしく（ひらがなとなかよし）</t>
  </si>
  <si>
    <t>ひらがなの読み書きに親しみ元気に自己紹介をする</t>
  </si>
  <si>
    <t>あいさつの練習やひらがなの筆順習得活動を行う</t>
  </si>
  <si>
    <t>ひらがなを正しく読み書きし意欲的に自己紹介できる</t>
  </si>
  <si>
    <t>2026年5月</t>
  </si>
  <si>
    <t>わけをはなそう</t>
  </si>
  <si>
    <t>自分の考えや理由を順序立てて伝える</t>
  </si>
  <si>
    <t>理由を表す言葉を使って話す活動を行う</t>
  </si>
  <si>
    <t>理由を分かりやすく友達に伝えることができる</t>
  </si>
  <si>
    <t>2026年6月</t>
  </si>
  <si>
    <t>くちばし</t>
  </si>
  <si>
    <t>問いと答えの対応に着目して文章を読み取る</t>
  </si>
  <si>
    <t>写真や文章から問いと答えを探し出す</t>
  </si>
  <si>
    <t>問いと答えの関係を理解し読み取ることができる</t>
  </si>
  <si>
    <t>2026年7月</t>
  </si>
  <si>
    <t>おむすびころりん</t>
  </si>
  <si>
    <t>登場人物の気持ちや音の響きを楽しむ</t>
  </si>
  <si>
    <t>音読劇や役決め音読を行う</t>
  </si>
  <si>
    <t>声の大きさや調子を工夫して楽しく音読できる</t>
  </si>
  <si>
    <t>2026年9月</t>
  </si>
  <si>
    <t>えにかいたことをはなそう</t>
  </si>
  <si>
    <t>絵から想像したことをことばで表現する</t>
  </si>
  <si>
    <t>描いた絵の説明を作文にして発表する</t>
  </si>
  <si>
    <t>絵の様子を具体的な言葉で表現できる</t>
  </si>
  <si>
    <t>2026年10月</t>
  </si>
  <si>
    <t>じどう車くらべ</t>
  </si>
  <si>
    <t>しごととつくりに着目して説明文を読む</t>
  </si>
  <si>
    <t>図鑑や教科書から自動車の工夫を読み取る</t>
  </si>
  <si>
    <t>しごととつくりの関係を整理して読める</t>
  </si>
  <si>
    <t>2026年11月</t>
  </si>
  <si>
    <t>知らせたいな、見せたいな</t>
  </si>
  <si>
    <t>観察したことを観察カードにまとめる</t>
  </si>
  <si>
    <t>学校の生き物や植物を観察し記述する</t>
  </si>
  <si>
    <t>観察した特徴を正しく記録・発表できる</t>
  </si>
  <si>
    <t>2026年12月</t>
  </si>
  <si>
    <t>たぬきの糸車</t>
  </si>
  <si>
    <t>登場人物の行動や気持ちの変化を読み取る</t>
  </si>
  <si>
    <t>場面ごとのたぬきのおかみさんの様子を追う</t>
  </si>
  <si>
    <t>場面の移り変わりに沿って物語を読める</t>
  </si>
  <si>
    <t>2027年1月</t>
  </si>
  <si>
    <t>いろいろなふね</t>
  </si>
  <si>
    <t>文章の構成を理解し知識を広げる</t>
  </si>
  <si>
    <t>船の役目とつくりの対応関係を読み取る</t>
  </si>
  <si>
    <t>文章の工夫に気づきまとめることができる</t>
  </si>
  <si>
    <t>2027年2月</t>
  </si>
  <si>
    <t>ずうっと、ずっと、だいすきだよ</t>
  </si>
  <si>
    <t>登場人物の心情に共感しながら読む</t>
  </si>
  <si>
    <t>主人公と犬の関わりについて話し合う</t>
  </si>
  <si>
    <t>登場人物の気持ちの変化を感じ取って読める</t>
  </si>
  <si>
    <t>2027年3月</t>
  </si>
  <si>
    <t>いちねんかんをかえりみよう</t>
  </si>
  <si>
    <t>1年間の成長を振り返り文章にまとめる</t>
  </si>
  <si>
    <t>作文や集大成のカードを作成する</t>
  </si>
  <si>
    <t>自分の成長や表現の変化を実感し文章化できる</t>
  </si>
  <si>
    <t>2年</t>
  </si>
  <si>
    <t>ふきのとう</t>
  </si>
  <si>
    <t>登場人物の気持ちを考え音読を工夫する</t>
  </si>
  <si>
    <t>役になりきって音読練習を行う</t>
  </si>
  <si>
    <t>登場人物の様子に合わせて音読ができる</t>
  </si>
  <si>
    <t>たんぽぽのちえ</t>
  </si>
  <si>
    <t>時の順序を表す言葉に着目して読む</t>
  </si>
  <si>
    <t>たんぽぽの変化を時系列で整理する</t>
  </si>
  <si>
    <t>時間の経過を表す言葉を意識して読める</t>
  </si>
  <si>
    <t>スイミー</t>
  </si>
  <si>
    <t>場面の様子や登場人物の気持ちの変化を読み取る</t>
  </si>
  <si>
    <t>スイミーの成長や行動について話し合う</t>
  </si>
  <si>
    <t>場面ごとの情景や気持ちの変化を理解できる</t>
  </si>
  <si>
    <t>あったらいいな、こんなもの</t>
  </si>
  <si>
    <t>自分の考えを順序立てて作文にする</t>
  </si>
  <si>
    <t>夢の道具を考えて発表メモを作る</t>
  </si>
  <si>
    <t>考えを分かりやすい順序で書くことができる</t>
  </si>
  <si>
    <t>お話のさくしゃになろう</t>
  </si>
  <si>
    <t>自分で物語を構成して創作する</t>
  </si>
  <si>
    <t>登場人物やあらすじを設定し作品を作る</t>
  </si>
  <si>
    <t>順序を考えて想像豊かな物語が書ける</t>
  </si>
  <si>
    <t>鮭が大きくなるまで</t>
  </si>
  <si>
    <t>順序を表す言葉に着目し説明文を読む</t>
  </si>
  <si>
    <t>鮭の成長過程を図や文章で整理する</t>
  </si>
  <si>
    <t>時間の経過に沿って内容を正確に読み取れる</t>
  </si>
  <si>
    <t>わたしはおねえさん</t>
  </si>
  <si>
    <t>主人公の行動や気持ちの変化を理解する</t>
  </si>
  <si>
    <t>すみちゃんの気持ちの移り変わりを話し合う</t>
  </si>
  <si>
    <t>場面の移り変わりと心情の変化を捉えられる</t>
  </si>
  <si>
    <t>わたしが作った詩</t>
  </si>
  <si>
    <t>様子を表す言葉を使って詩を書く</t>
  </si>
  <si>
    <t>身近な出来事を五感を使って詩にする</t>
  </si>
  <si>
    <t>言葉の響きや表現の工夫を生かして表現できる</t>
  </si>
  <si>
    <t>かさこじぞう</t>
  </si>
  <si>
    <t>昔話の面白さや情景を読み取る</t>
  </si>
  <si>
    <t>じいさまとばあさまの思いを読み取る</t>
  </si>
  <si>
    <t>登場人物の優しさに触れ情景を感じ取れる</t>
  </si>
  <si>
    <t>おにごっこ</t>
  </si>
  <si>
    <t>遊びのルールや工夫を読み取る</t>
  </si>
  <si>
    <t>おにごっこの遊び方の違いを比較する</t>
  </si>
  <si>
    <t>遊びの工夫とその理由を読み取ることができる</t>
  </si>
  <si>
    <t>2年生のまとめ</t>
  </si>
  <si>
    <t>2年生で学習した漢字や言語事項を振り返る</t>
  </si>
  <si>
    <t>復習テストや作文の作成を行う</t>
  </si>
  <si>
    <t>学習内容の定着を確認し課題を克服できる</t>
  </si>
  <si>
    <t>3年</t>
  </si>
  <si>
    <t>きつつきの商売</t>
  </si>
  <si>
    <t>場面の移り変わりと登場人物の気持ちを読み取る</t>
  </si>
  <si>
    <t>登場人物の会話や情景描写を捉える</t>
  </si>
  <si>
    <t>場面ごとの心情変化を正確に読み取れる</t>
  </si>
  <si>
    <t>じゅげむ</t>
  </si>
  <si>
    <t>落語の面白さや言葉の調子を楽しむ</t>
  </si>
  <si>
    <t>声に出して音読し言葉のテンポを感じる</t>
  </si>
  <si>
    <t>伝統的な言語文化の面白さを味わえる</t>
  </si>
  <si>
    <t>メダカの育ちかた</t>
  </si>
  <si>
    <t>説明文の段落と要旨を把握する</t>
  </si>
  <si>
    <t>各段落の中心的な内容を要約する</t>
  </si>
  <si>
    <t>段落ごとの役割と段落相互の関係を理解できる</t>
  </si>
  <si>
    <t>引用しよう</t>
  </si>
  <si>
    <t>他の文章を引用して自分の考えを書く</t>
  </si>
  <si>
    <t>適切な引用方法を学び作文に活用する</t>
  </si>
  <si>
    <t>引用のルールを守って適切に引用できる</t>
  </si>
  <si>
    <t>ちいちゃんのかげおくり</t>
  </si>
  <si>
    <t>戦争の悲惨さと主人公の心情変化を読み取る</t>
  </si>
  <si>
    <t>場面の対比に着目して内容を深く理解する</t>
  </si>
  <si>
    <t>登場人物の心情と背景を捉えて読める</t>
  </si>
  <si>
    <t>すがたをかえる大豆</t>
  </si>
  <si>
    <t>おいしく食べる工夫と説明の仕方を読み取る</t>
  </si>
  <si>
    <t>大豆の加工方法と順序を整理する</t>
  </si>
  <si>
    <t>事例とまとめの関係を理解し説明文が読める</t>
  </si>
  <si>
    <t>三年生の仕事とくらし</t>
  </si>
  <si>
    <t>報告文の書き方を理解し調査結果をまとめる</t>
  </si>
  <si>
    <t>グループ調査を実施し報告文を書く</t>
  </si>
  <si>
    <t>調査結果を分かりやすく報告文章にまとめられる</t>
  </si>
  <si>
    <t>三年峠</t>
  </si>
  <si>
    <t>民話の面白さや登場人物の知恵を読み取る</t>
  </si>
  <si>
    <t>トコトンヤの歌や人物の行動を追う</t>
  </si>
  <si>
    <t>登場人物の行動の理由を読み取れる</t>
  </si>
  <si>
    <t>ありの行列</t>
  </si>
  <si>
    <t>実験とその結果の段落構成を読み取る</t>
  </si>
  <si>
    <t>アリのフェロモンの仕組みを段落ごとにまとめる</t>
  </si>
  <si>
    <t>実験と結論の関係を整理して読み取れる</t>
  </si>
  <si>
    <t>モチモチの木</t>
  </si>
  <si>
    <t>主人公豆太の勇気と心情の変化を読み取る</t>
  </si>
  <si>
    <t>豆太の優しさと勇気の表現を捉える</t>
  </si>
  <si>
    <t>登場人物の心情変化を音読等で表現できる</t>
  </si>
  <si>
    <t>1年間の思い出を伝え合おう</t>
  </si>
  <si>
    <t>1年間の思い出をスピーチ形式で発表する</t>
  </si>
  <si>
    <t>原稿を作成し説得力のあるスピーチを行う</t>
  </si>
  <si>
    <t>相手に伝わる声の大きさや順序でスピーチできる</t>
  </si>
  <si>
    <t>4年</t>
  </si>
  <si>
    <t>不思議な世界観と登場人物の気持ちを読み取る</t>
  </si>
  <si>
    <t>松井さんの優しさと仕草に注目する</t>
  </si>
  <si>
    <t>文章の描写から登場人物の気持ちを想像できる</t>
  </si>
  <si>
    <t>花たばをあげる</t>
  </si>
  <si>
    <t>詩の言葉の工夫や表現を味わう</t>
  </si>
  <si>
    <t>詩のイメージを広げて朗読する</t>
  </si>
  <si>
    <t>言葉の表現の工夫を捉え情景を味わえる</t>
  </si>
  <si>
    <t>一つの花</t>
  </si>
  <si>
    <t>戦時中の暮らしと登場人物の願いを読み取る</t>
  </si>
  <si>
    <t>言葉の言い回しに着目して内容を考える</t>
  </si>
  <si>
    <t>文章中の語句に着目し人物の気持ちを理解できる</t>
  </si>
  <si>
    <t>新聞を作ろう</t>
  </si>
  <si>
    <t>見出しや割付けを工夫して新聞を作成する</t>
  </si>
  <si>
    <t>記事の取材・執筆・編集作業を行う</t>
  </si>
  <si>
    <t>読み手に伝わる構成で新聞を作成できる</t>
  </si>
  <si>
    <t>ごんぎつね</t>
  </si>
  <si>
    <t>ごんと兵十の気持ちのすれ違いを読み取る</t>
  </si>
  <si>
    <t>情景描写と心情の関係を深掘りする</t>
  </si>
  <si>
    <t>登場人物の心情変化を文章の根拠に基づき捉えられる</t>
  </si>
  <si>
    <t>詳しく調べるパンフレット</t>
  </si>
  <si>
    <t>地域の特産品や施設についてパンフレットを作る</t>
  </si>
  <si>
    <t>取材結果を効果的に配置・記述する</t>
  </si>
  <si>
    <t>目的や意図に応じた表現でパンフレットが作れる</t>
  </si>
  <si>
    <t>慣用句を使おう</t>
  </si>
  <si>
    <t>慣用句の意味や成り立ちを理解する</t>
  </si>
  <si>
    <t>辞書を使って慣用句を調べ短文を作る</t>
  </si>
  <si>
    <t>慣用句の意味を正しく理解し適切に使用できる</t>
  </si>
  <si>
    <t>プラタナスの木</t>
  </si>
  <si>
    <t>登場人物の関係性と心情の変化を読み取る</t>
  </si>
  <si>
    <t>プラタナスの木を巡る変化を整理する</t>
  </si>
  <si>
    <t>物語の展開と登場人物の関わりを理解できる</t>
  </si>
  <si>
    <t>ウナギのなぞを追う</t>
  </si>
  <si>
    <t>調査研究の経過と筆者の考えを読み取る</t>
  </si>
  <si>
    <t>研究の順序や発見の驚きを捉える</t>
  </si>
  <si>
    <t>研究の段落構成と結果の関係を理解できる</t>
  </si>
  <si>
    <t>初雪のふるひに</t>
  </si>
  <si>
    <t>主人公の幻想的な体験と心情を読み取る</t>
  </si>
  <si>
    <t>場面ごとの色や音の描写に着目する</t>
  </si>
  <si>
    <t>描写の表現に着目して作品の世界観を味わえる</t>
  </si>
  <si>
    <t>4年生のまとめ</t>
  </si>
  <si>
    <t>1年間の読書や言語活動を振り返る</t>
  </si>
  <si>
    <t>おすすめの理由を添えて推薦文を書く</t>
  </si>
  <si>
    <t>自分の成長を振り返り適切に表現できる</t>
  </si>
  <si>
    <t>5年</t>
  </si>
  <si>
    <t>なまえつけるよ</t>
  </si>
  <si>
    <t>登場人物の関わりと心情の変化を読み取る</t>
  </si>
  <si>
    <t>心情の変化を表す描写を見つける</t>
  </si>
  <si>
    <t>登場人物の心情の変化を的確に捉えられる</t>
  </si>
  <si>
    <t>見立てる</t>
  </si>
  <si>
    <t>筆者の主張と具体例の関係を読み取る</t>
  </si>
  <si>
    <t>見立ての具体例と筆者の論理を整理する</t>
  </si>
  <si>
    <t>主張と事実・例示の関係を捉えることができる</t>
  </si>
  <si>
    <t>言葉の意味が分かること</t>
  </si>
  <si>
    <t>段落相互の関係を捉え筆者の考えをまとめる</t>
  </si>
  <si>
    <t>要約文を作成しグループで共有する</t>
  </si>
  <si>
    <t>段落構成を理解し筆者の主張を要約できる</t>
  </si>
  <si>
    <t>敬語の使い方</t>
  </si>
  <si>
    <t>尊敬語・謙譲語・丁寧語の役割を理解する</t>
  </si>
  <si>
    <t>場面に応じた適切な敬語表現の練習</t>
  </si>
  <si>
    <t>相手や場面に応じた敬語を適切に選択できる</t>
  </si>
  <si>
    <t>大造じいさんとガン</t>
  </si>
  <si>
    <t>大造じいさんの心情の変化と残雪への対峙を読む</t>
  </si>
  <si>
    <t>情景描写と心の動きの対応を捉える</t>
  </si>
  <si>
    <t>情景描写が与える心情的効果を深く読み取れる</t>
  </si>
  <si>
    <t>和菓子調査隊</t>
  </si>
  <si>
    <t>情報を整理して報告文章を作成する</t>
  </si>
  <si>
    <t>和菓子の歴史や種類を調査し記述する</t>
  </si>
  <si>
    <t>情報を分類・整理して分かりやすく書ける</t>
  </si>
  <si>
    <t>鳥獣戯画を読む</t>
  </si>
  <si>
    <t>絵と文章の対比に着目して筆者の見方を理解する</t>
  </si>
  <si>
    <t>鳥獣戯画の解説文の表現方法を分析する</t>
  </si>
  <si>
    <t>筆者のものの見方や表現の工夫を批評できる</t>
  </si>
  <si>
    <t>想像力を伸ばすために</t>
  </si>
  <si>
    <t>筆者の提起する課題と解決策を読み取る</t>
  </si>
  <si>
    <t>メディアとの向き合い方を議論する</t>
  </si>
  <si>
    <t>課題と意見を整理し自身の考えを持てる</t>
  </si>
  <si>
    <t>いつか大切なところ</t>
  </si>
  <si>
    <t>登場人物の成長や心理描写を読み取る</t>
  </si>
  <si>
    <t>主人公の葛藤や決意を整理する</t>
  </si>
  <si>
    <t>人物の葛藤と成長過程を正確に把握できる</t>
  </si>
  <si>
    <t>提案しよう、言葉の力</t>
  </si>
  <si>
    <t>現状の課題に対して提案する文章を書く</t>
  </si>
  <si>
    <t>アンケート結果等の根拠を示して提案書を作る</t>
  </si>
  <si>
    <t>事実と主張を分けて効果的な提案ができる</t>
  </si>
  <si>
    <t>5年生のまとめと読書</t>
  </si>
  <si>
    <t>推奨本の紹介文を作成し交流する</t>
  </si>
  <si>
    <t>ビブリオバトルやブックトークを行う</t>
  </si>
  <si>
    <t>本の魅力を効果的に表現し他者に伝えられる</t>
  </si>
  <si>
    <t>6年</t>
  </si>
  <si>
    <t>最高学年として</t>
  </si>
  <si>
    <t>最高学年としての覚悟と目標をスピーチする</t>
  </si>
  <si>
    <t>原稿の推敲とスピーチの実践を行う</t>
  </si>
  <si>
    <t>自分の考えを順序立てて堂々と表現できる</t>
  </si>
  <si>
    <t>やまなし</t>
  </si>
  <si>
    <t>宮沢賢治の独特な世界観と表現を味わう</t>
  </si>
  <si>
    <t>五月と十二月の対比や色彩表現を捉える</t>
  </si>
  <si>
    <t>対比や象徴的表現から深い意味を読み取れる</t>
  </si>
  <si>
    <t>防災ポスターを作ろう</t>
  </si>
  <si>
    <t>情報を整理し説得力のあるポスターを作る</t>
  </si>
  <si>
    <t>防災情報の収集・分類・レイアウト検討</t>
  </si>
  <si>
    <t>目的や対象に応じた明確なポスターを作成できる</t>
  </si>
  <si>
    <t>言葉の選択</t>
  </si>
  <si>
    <t>類義語や対義語のニュアンスの違いを学ぶ</t>
  </si>
  <si>
    <t>文章の文脈に応じた最適な言葉選びを行う</t>
  </si>
  <si>
    <t>文脈に合わせた適切な語彙の選択ができる</t>
  </si>
  <si>
    <t>海の命</t>
  </si>
  <si>
    <t>太一の生き方や海に対する心情の変化を読み取る</t>
  </si>
  <si>
    <t>与吉じいさや父との関わりを追う</t>
  </si>
  <si>
    <t>主人公の生き方や信念について自分の考えを持てる</t>
  </si>
  <si>
    <t>鳥獣戯画をよむ（発展）</t>
  </si>
  <si>
    <t>解説文の工夫と文章展開を比較分析する</t>
  </si>
  <si>
    <t>自分の選んだ芸術作品解説を作成する</t>
  </si>
  <si>
    <t>作品の魅力を説得力のある文章で説明できる</t>
  </si>
  <si>
    <t>未来の街づくり提案</t>
  </si>
  <si>
    <t>地域の課題を解決するための提案文を書く</t>
  </si>
  <si>
    <t>資料活用や引用を行い根拠のある文章にする</t>
  </si>
  <si>
    <t>事実と論理を組み立て説得力ある提案ができる</t>
  </si>
  <si>
    <t>ヒロシマのうた</t>
  </si>
  <si>
    <t>被爆者の思いや平和への願いを読み取る</t>
  </si>
  <si>
    <t>戦争の現実と登場人物の生き方を捉える</t>
  </si>
  <si>
    <t>文章の背景にある歴史的意図や願いを深く読める</t>
  </si>
  <si>
    <t>プログラミング的思考と説明文</t>
  </si>
  <si>
    <t>論理的な文章の組み立て方を学ぶ</t>
  </si>
  <si>
    <t>筋道立てて説明するフローを執筆する</t>
  </si>
  <si>
    <t>論理展開の矛盾や不足に気づき補正できる</t>
  </si>
  <si>
    <t>いのちの歌</t>
  </si>
  <si>
    <t>詩や歌詞の表現技法を読み取る</t>
  </si>
  <si>
    <t>言葉に込められたメッセージを共有する</t>
  </si>
  <si>
    <t>詩表現の工夫を評価し感性豊かに味わえる</t>
  </si>
  <si>
    <t>中学校へのステップ</t>
  </si>
  <si>
    <t>6年間の国語学習を振り返り卒業文集を作る</t>
  </si>
  <si>
    <t>自らの成長と将来の夢を作文に表現する</t>
  </si>
  <si>
    <t>小学校の学習を総括し表現力豊かな文章が書ける</t>
  </si>
  <si>
    <t>2026年4月-2026年5月</t>
  </si>
  <si>
    <t>わたしたちのまち・いわき市</t>
  </si>
  <si>
    <t>市の様子や地形・交通の広がりを調べる</t>
  </si>
  <si>
    <t>地図の利用や探検活動を通して特徴をまとめる</t>
  </si>
  <si>
    <t>市の位置や土地利用の工夫を理解・説明できる</t>
  </si>
  <si>
    <t>2026年6月-2026年7月</t>
  </si>
  <si>
    <t>まちの仕事と働く人々（スーパーマーケット）</t>
  </si>
  <si>
    <t>販売に携わる人々の工夫や努力を調べる</t>
  </si>
  <si>
    <t>店の見学やインタビューを通じて工夫をまとめる</t>
  </si>
  <si>
    <t>消費者のニーズに応える工夫を理解できる</t>
  </si>
  <si>
    <t>2026年9月-2026年10月</t>
  </si>
  <si>
    <t>安全なくらしを守る（警察・消防）</t>
  </si>
  <si>
    <t>警察や消防の働きと地域の安全確保を調べる</t>
  </si>
  <si>
    <t>通報の仕組みや防犯・防災訓練を調べる</t>
  </si>
  <si>
    <t>事故や火災から地域を守る工夫を理解できる</t>
  </si>
  <si>
    <t>2026年11月-2026年12月</t>
  </si>
  <si>
    <t>事故や事件のないまちを目指して</t>
  </si>
  <si>
    <t>地域の人々や関係機関の連携を理解する</t>
  </si>
  <si>
    <t>交通安全マップの作成や話し合いを行う</t>
  </si>
  <si>
    <t>地域の安全活動に対する意識と理解を深められる</t>
  </si>
  <si>
    <t>2027年1月-2027年2月</t>
  </si>
  <si>
    <t>市の移り変わりと昔のくらし</t>
  </si>
  <si>
    <t>道具の変化や人々の暮らしの変化を調べる</t>
  </si>
  <si>
    <t>昔の道具の見学や年表づくりを行う</t>
  </si>
  <si>
    <t>道具や生活の変化と人々の工夫を理解できる</t>
  </si>
  <si>
    <t>これからのいわき市</t>
  </si>
  <si>
    <t>これからの地域の発展と暮らしについて考える</t>
  </si>
  <si>
    <t>まちづくりの課題や展望について話し合う</t>
  </si>
  <si>
    <t>地域の一員としての自覚と誇りを持てる</t>
  </si>
  <si>
    <t>健康な生活といのち（ごみの処理）</t>
  </si>
  <si>
    <t>ごみの処理や再利用の仕組みを調べる</t>
  </si>
  <si>
    <t>クリーンセンター等の見学や分別調査を行う</t>
  </si>
  <si>
    <t>衛生的な生活を支える事業の役割を理解できる</t>
  </si>
  <si>
    <t>飲料水の確保と水道事業</t>
  </si>
  <si>
    <t>浄水場の仕組みや水の供給経路を調べる</t>
  </si>
  <si>
    <t>水の使用量調査やダム・浄水場の働きを学ぶ</t>
  </si>
  <si>
    <t>水の安定供給と保全の工夫を理解できる</t>
  </si>
  <si>
    <t>自然災害からくらしを守る</t>
  </si>
  <si>
    <t>地震や台風の被害と防災対策を調べる</t>
  </si>
  <si>
    <t>ハザードマップの活用や防災備蓄の調査を行う</t>
  </si>
  <si>
    <t>地域の防災体制や各自の備えの重要性を理解できる</t>
  </si>
  <si>
    <t>県の様子と人々のくらし（福島県）</t>
  </si>
  <si>
    <t>福島県の地形や産業・交通の様子を調べる</t>
  </si>
  <si>
    <t>県内の地域ごとの特徴や特色を地図で整理する</t>
  </si>
  <si>
    <t>県内の主要都市や産業の分布を理解できる</t>
  </si>
  <si>
    <t>伝統的な文化や生活（じゃんがら念仏踊り等）</t>
  </si>
  <si>
    <t>地域に伝わる伝統工芸や祭りの価値を調べる</t>
  </si>
  <si>
    <t>伝統文化の歴史や継承の工夫を学ぶ</t>
  </si>
  <si>
    <t>伝統文化の継承と地域の思いを理解できる</t>
  </si>
  <si>
    <t>地域の発展に尽くした人々</t>
  </si>
  <si>
    <t>地域の偉人の功績と努力を調べる</t>
  </si>
  <si>
    <t>偉人の伝記や開発の歴史を調査・発表する</t>
  </si>
  <si>
    <t>地域の発展に尽くした人々の志を理解できる</t>
  </si>
  <si>
    <t>国土の様子と人々のくらし</t>
  </si>
  <si>
    <t>日本の国土の位置、地形、気候の特徴を調べる</t>
  </si>
  <si>
    <t>地図帳や地球儀を用いて各地の特徴を比較する</t>
  </si>
  <si>
    <t>国土の地形・気候の特徴と暮らしを関連づけて理解できる</t>
  </si>
  <si>
    <t>米づくりのさかんな地域</t>
  </si>
  <si>
    <t>庄内平野等の米づくりの工程と工夫を調べる</t>
  </si>
  <si>
    <t>農家の取組や機械化・品種改良の努力を整理する</t>
  </si>
  <si>
    <t>食料生産の工夫や持続可能性について理解できる</t>
  </si>
  <si>
    <t>水産業のさかんな地域</t>
  </si>
  <si>
    <t>沿岸漁業や養殖業の工夫と課題を調べる</t>
  </si>
  <si>
    <t>水産資源の管理や流通の工夫を調査する</t>
  </si>
  <si>
    <t>豊かな海の保全と水産業の取組を理解できる</t>
  </si>
  <si>
    <t>工業生産を支える人々</t>
  </si>
  <si>
    <t>自動車工場や中小企業の技術開発を調べる</t>
  </si>
  <si>
    <t>工場の工程管理や貿易・輸出入の関係を学ぶ</t>
  </si>
  <si>
    <t>日本の工業技術の高さと貿易の重要性を理解できる</t>
  </si>
  <si>
    <t>情報化した社会と私たちの暮らし</t>
  </si>
  <si>
    <t>ニュース番組や情報の活用・モラルを調べる</t>
  </si>
  <si>
    <t>情報の伝達経路や情報活用の課題を整理する</t>
  </si>
  <si>
    <t>情報化の利便性と課題を多角的に理解できる</t>
  </si>
  <si>
    <t>国土の保全とこれからの産業</t>
  </si>
  <si>
    <t>自然環境の保全や防災・減災の取組を学ぶ</t>
  </si>
  <si>
    <t>環境保全に関する課題解決提案を作成する</t>
  </si>
  <si>
    <t>環境保全と産業発展の両立について理解できる</t>
  </si>
  <si>
    <t>憲法と政治の仕組み</t>
  </si>
  <si>
    <t>日本国憲法の三原則と国会・内閣・裁判所を調べる</t>
  </si>
  <si>
    <t>政治の仕組みと国民生活の繋がりを整理する</t>
  </si>
  <si>
    <t>憲法の基本原理と政治機構の役割を正確に理解できる</t>
  </si>
  <si>
    <t>大昔の暮らしから天下統一へ</t>
  </si>
  <si>
    <t>縄文・弥生時代から戦国時代までの歴史を辿る</t>
  </si>
  <si>
    <t>年表や遺跡資料から政治や文化の変化を解き明かす</t>
  </si>
  <si>
    <t>各時代の政治の中心人物と社会の変化を理解できる</t>
  </si>
  <si>
    <t>江戸幕府の開府から明治維新</t>
  </si>
  <si>
    <t>鎖国から開国、近代国家の歩みを調べる</t>
  </si>
  <si>
    <t>武士の政治から近代的な法制・産業への変化を学ぶ</t>
  </si>
  <si>
    <t>日本が近代社会へ転換した過程と理由を理解できる</t>
  </si>
  <si>
    <t>太平洋戦争と国際社会での歩み</t>
  </si>
  <si>
    <t>日清・日露戦争から第二次世界大戦までの歩み</t>
  </si>
  <si>
    <t>戦後の復興と日本のアジア・国際社会での役割</t>
  </si>
  <si>
    <t>戦争の悲惨さと平和維持の重要性を理解できる</t>
  </si>
  <si>
    <t>世界の国々と日本のつながり</t>
  </si>
  <si>
    <t>関連の強い国々の生活を調べる</t>
  </si>
  <si>
    <t>文化・経済・地球環境問題での連携を検討する</t>
  </si>
  <si>
    <t>国際協力や異文化理解の重要性を理解できる</t>
  </si>
  <si>
    <t>これからの持続可能な社会</t>
  </si>
  <si>
    <t>SDGsや地球規模の課題と日本の役割を考える</t>
  </si>
  <si>
    <t>今後の社会参加への意欲をまとめ発表する</t>
  </si>
  <si>
    <t>持続可能な社会の実現に向け主体的に考えることができる</t>
  </si>
  <si>
    <t>なかまづくりと かず</t>
  </si>
  <si>
    <t>10までの数の概念と数の順序を理解する</t>
  </si>
  <si>
    <t>具体的物を用いて数を数え・書く練習を行う</t>
  </si>
  <si>
    <t>10までの数の意味と大小関係を正確に理解できる</t>
  </si>
  <si>
    <t>いくつと いくつ</t>
  </si>
  <si>
    <t>数の分解と合成（10の補数）を理解する</t>
  </si>
  <si>
    <t>おはじきやブロックで数の構成を確かめる</t>
  </si>
  <si>
    <t>数の合成・分解をスムーズに行うことができる</t>
  </si>
  <si>
    <t>たしざん（1）</t>
  </si>
  <si>
    <t>加算の意味と記号「＋」を理解する</t>
  </si>
  <si>
    <t>具象物から立式し計算を行う</t>
  </si>
  <si>
    <t>加算の意味を理解し繰り上がりのない加算ができる</t>
  </si>
  <si>
    <t>ひきざん（1）</t>
  </si>
  <si>
    <t>減算の意味と記号「−」を理解する</t>
  </si>
  <si>
    <t>具象物から立式し減算を行う</t>
  </si>
  <si>
    <t>減算の意味を理解し繰り下がりのない減算ができる</t>
  </si>
  <si>
    <t>どちらが ながい</t>
  </si>
  <si>
    <t>長さの直接比較や間接比較の考え方を学ぶ</t>
  </si>
  <si>
    <t>紙テープ等で長さを直接比較する</t>
  </si>
  <si>
    <t>長さの概念と大小比較の方法を理解できる</t>
  </si>
  <si>
    <t>10より おおきい かず</t>
  </si>
  <si>
    <t>20までの数の数え方・表し方と位取りを学ぶ</t>
  </si>
  <si>
    <t>10のまとまりを意識して数を数える</t>
  </si>
  <si>
    <t>20までの数の構造と大小関係を理解できる</t>
  </si>
  <si>
    <t>たしざん（2）</t>
  </si>
  <si>
    <t>繰り上がりのあるたし算（10のまとまりを作る）</t>
  </si>
  <si>
    <t>ブロックを使い10を作って計算する</t>
  </si>
  <si>
    <t>繰り上がりのある加算の計算方法を習得できる</t>
  </si>
  <si>
    <t>ひきざん（2）</t>
  </si>
  <si>
    <t>繰り下がりのあるひき算（10から引く）</t>
  </si>
  <si>
    <t>ブロックを使い減加法・減減法で解く</t>
  </si>
  <si>
    <t>繰り下がりのある減算の計算方法を習得できる</t>
  </si>
  <si>
    <t>かたちあそび</t>
  </si>
  <si>
    <t>箱などの立体形状の特徴や性質に気づく</t>
  </si>
  <si>
    <t>箱を積んだり写し取ったりして遊ぶ</t>
  </si>
  <si>
    <t>立体や図形の特徴に気づき分類できる</t>
  </si>
  <si>
    <t>大きい かず</t>
  </si>
  <si>
    <t>100までの数の数え方と構造を理解する</t>
  </si>
  <si>
    <t>10の束を作って100までの数を数える</t>
  </si>
  <si>
    <t>100までの数の系列や大きさを正しく捉えられる</t>
  </si>
  <si>
    <t>かたちづくり</t>
  </si>
  <si>
    <t>色板や数え棒を使って様々な形を作る</t>
  </si>
  <si>
    <t>図形の構成要素（辺・角）を感覚的に掴む</t>
  </si>
  <si>
    <t>形の構成要素に着目し工夫して形を作れる</t>
  </si>
  <si>
    <t>表と グラフ</t>
  </si>
  <si>
    <t>データを分類整理して簡単な表やグラフにする</t>
  </si>
  <si>
    <t>資料の個数を調べて表にまとめる</t>
  </si>
  <si>
    <t>データを正確に整理しグラフに表すことができる</t>
  </si>
  <si>
    <t>たし算と ひき算の 筆算</t>
  </si>
  <si>
    <t>2桁の足し算・引き算の筆算の仕組みを理解する</t>
  </si>
  <si>
    <t>各位を揃えて計算する手順をマスターする</t>
  </si>
  <si>
    <t>筆算のアルゴリズムを正しく理解し計算できる</t>
  </si>
  <si>
    <t>長さ（cm, mm）</t>
  </si>
  <si>
    <t>単位cm, mmの意味と測定方法を理解する</t>
  </si>
  <si>
    <t>定規を使って長さの測定や直線を描く</t>
  </si>
  <si>
    <t>正確な長さの測定と単位換算ができる</t>
  </si>
  <si>
    <t>1000までの 数</t>
  </si>
  <si>
    <t>1000までの数の位取り（百の位）と構造を学ぶ</t>
  </si>
  <si>
    <t>100の束を基礎にして数を構成・比較する</t>
  </si>
  <si>
    <t>1000までの数の構造を正確に理解できる</t>
  </si>
  <si>
    <t>水の かさ</t>
  </si>
  <si>
    <t>単位L, dL, mLの意味と測定方法を習得する</t>
  </si>
  <si>
    <t>1Lマス等を用いてかさを測定・比較する</t>
  </si>
  <si>
    <t>かさの単位関係を理解し適切に計算できる</t>
  </si>
  <si>
    <t>三角形と 四角形</t>
  </si>
  <si>
    <t>三角形・四角形・長方形・正方形・直角の定義</t>
  </si>
  <si>
    <t>折り紙や定規で直角や図形を作る</t>
  </si>
  <si>
    <t>図形の構成要素と性質を理解・区別できる</t>
  </si>
  <si>
    <t>九九（1）（2, 3, 4, 5の段）</t>
  </si>
  <si>
    <t>乗算の意味と九九の習得</t>
  </si>
  <si>
    <t>アレイ図等を用いて乗算の意味を深める</t>
  </si>
  <si>
    <t>九九の唱え方を習得し正しく計算できる</t>
  </si>
  <si>
    <t>九九（2）（6, 7, 8, 9, 1の段）</t>
  </si>
  <si>
    <t>全ての九九の習得と乗法九九の性質の理解</t>
  </si>
  <si>
    <t>被乗数や乗数の増減に伴う積の変化を学ぶ</t>
  </si>
  <si>
    <t>全ての九九を確実に暗唱し計算に適用できる</t>
  </si>
  <si>
    <t>10000までの 数</t>
  </si>
  <si>
    <t>一万の位までの位取りと大きな数の構造</t>
  </si>
  <si>
    <t>1000の束を中心とした数表現を行う</t>
  </si>
  <si>
    <t>10000までの数の大小や系列を理解できる</t>
  </si>
  <si>
    <t>分数</t>
  </si>
  <si>
    <t>単純な分数（1/2, 1/4など）の意味と表し方</t>
  </si>
  <si>
    <t>紙を折って等分し分数を表す</t>
  </si>
  <si>
    <t>分数が等分された大きさであることを理解できる</t>
  </si>
  <si>
    <t>2年生の まとめ</t>
  </si>
  <si>
    <t>2年生の全単元の復習と確実な定着</t>
  </si>
  <si>
    <t>総合問題・発展問題に取り組む</t>
  </si>
  <si>
    <t>各単元の概念・技能が定着しているか確認できる</t>
  </si>
  <si>
    <t>時刻と 時間</t>
  </si>
  <si>
    <t>時間と時刻の違い、時間の単位（秒）を理解する</t>
  </si>
  <si>
    <t>時計盤を用いて経過時間や時刻を求める</t>
  </si>
  <si>
    <t>時刻と時間の関係を正しく計算できる</t>
  </si>
  <si>
    <t>割り算</t>
  </si>
  <si>
    <t>等分除・包含除の意味と割り算の記号「÷」の習得</t>
  </si>
  <si>
    <t>九九を用いた割り算の計算方法を身につける</t>
  </si>
  <si>
    <t>割り算の意味を理解し九九を活用して解ける</t>
  </si>
  <si>
    <t>たし算と ひき算の 筆算（3桁）</t>
  </si>
  <si>
    <t>3桁の加減算の筆算と暗算の工夫</t>
  </si>
  <si>
    <t>繰り上がり・繰り下がりのある計算を行う</t>
  </si>
  <si>
    <t>確実な筆算能力と計算の工夫ができる</t>
  </si>
  <si>
    <t>あまりの出る 割り算</t>
  </si>
  <si>
    <t>余りのある割り算の意味とあまりの性質</t>
  </si>
  <si>
    <t>あまり＜割る数となる関係を確認する</t>
  </si>
  <si>
    <t>余りの出方を正しく理解し計算・立式できる</t>
  </si>
  <si>
    <t>大きな 数（万の単位）</t>
  </si>
  <si>
    <t>億の単位、10倍・100倍・1/10の数の関係</t>
  </si>
  <si>
    <t>位取り表を活用して大きな数を読み書きする</t>
  </si>
  <si>
    <t>大きな数の単位と構造を体系的に理解できる</t>
  </si>
  <si>
    <t>かけ算の 筆算（1桁×2桁等）</t>
  </si>
  <si>
    <t>筆算のアルゴリズムと乗法の性質を理解する</t>
  </si>
  <si>
    <t>部分積を意識して正確に計算する</t>
  </si>
  <si>
    <t>繰り上がりのある乗算筆算を確実にできる</t>
  </si>
  <si>
    <t>小数</t>
  </si>
  <si>
    <t>小数の意味・位（1/10の位）と加減算</t>
  </si>
  <si>
    <t>数直線や図で小数の大きさを可視化する</t>
  </si>
  <si>
    <t>小数の加減算の仕組みを正しく理解できる</t>
  </si>
  <si>
    <t>重さ</t>
  </si>
  <si>
    <t>単位g, kg, tの意味と測定器具の使用方法</t>
  </si>
  <si>
    <t>はかりを用いて重さを測定・計算する</t>
  </si>
  <si>
    <t>重さの単位換算と実測が正確にできる</t>
  </si>
  <si>
    <t>同分母の分数の加算・減算と真分数・仮分数</t>
  </si>
  <si>
    <t>図や数直線を用いて分数の計算をする</t>
  </si>
  <si>
    <t>同分母分数の計算の仕組みを理解・計算できる</t>
  </si>
  <si>
    <t>□を使った 式</t>
  </si>
  <si>
    <t>未知数を□として式に表し求める</t>
  </si>
  <si>
    <t>逆算の考え方を用いて□の値を出す</t>
  </si>
  <si>
    <t>□を用いた立式と数値の算出ができる</t>
  </si>
  <si>
    <t>そろばん</t>
  </si>
  <si>
    <t>そろばんの仕組みと簡単な数の配置・計算</t>
  </si>
  <si>
    <t>そろばんで計算の基礎を試す</t>
  </si>
  <si>
    <t>そろばんでの数の表現と加減算ができる</t>
  </si>
  <si>
    <t>角の 大きさ</t>
  </si>
  <si>
    <t>分度器を用いた角度の測定と描画</t>
  </si>
  <si>
    <t>度（°）の概念理解と回転角の計算</t>
  </si>
  <si>
    <t>角度の測定・作図が正確にできる</t>
  </si>
  <si>
    <t>割り算の 筆算（1桁で割る）</t>
  </si>
  <si>
    <t>商が2桁・3桁になる割り算の筆算アルゴリズム</t>
  </si>
  <si>
    <t>「立てる・かける・ひく・おろす」の手順マスター</t>
  </si>
  <si>
    <t>割り算の筆算を確実に実行できる</t>
  </si>
  <si>
    <t>1億を超える 数</t>
  </si>
  <si>
    <t>億・兆の単位と4桁ごとの位取り構造</t>
  </si>
  <si>
    <t>大きな数の計算や10倍・1/10の関係理解</t>
  </si>
  <si>
    <t>10進法の仕組みを巨大な数に適用できる</t>
  </si>
  <si>
    <t>垂直・平行と 四角形</t>
  </si>
  <si>
    <t>直線の垂直・平行関係と台形・平行四辺形・ひし形</t>
  </si>
  <si>
    <t>三角定規を使った平行線・垂直線の作図</t>
  </si>
  <si>
    <t>各四角形の性質を理解し作図できる</t>
  </si>
  <si>
    <t>割り算の 筆算（2桁で割る）</t>
  </si>
  <si>
    <t>仮の商の立て方と修正のアルゴリズム</t>
  </si>
  <si>
    <t>試行錯誤しながら商を修正して解く</t>
  </si>
  <si>
    <t>複雑な割り算筆算を正確に計算できる</t>
  </si>
  <si>
    <t>小数の かけ算と 割り算</t>
  </si>
  <si>
    <t>(小数)×(整数)、(小数)÷(整数)の筆算の仕組み</t>
  </si>
  <si>
    <t>小数点の位置に気をつけて計算する</t>
  </si>
  <si>
    <t>小数の乗除算を正確に行うことができる</t>
  </si>
  <si>
    <t>面積</t>
  </si>
  <si>
    <t>単位cm², m², km²の意味と長方形・正方形の面積公式</t>
  </si>
  <si>
    <t>公式を適用して面積を算定・単位換算する</t>
  </si>
  <si>
    <t>面積公式を理解し図形の面積を求められる</t>
  </si>
  <si>
    <t>折れ線グラフ</t>
  </si>
  <si>
    <t>データの変化の様子を表す折れ線グラフの読み書き</t>
  </si>
  <si>
    <t>傾きの急緩から変化の度合いを読み取る</t>
  </si>
  <si>
    <t>経時的変化の特徴を正確に分析できる</t>
  </si>
  <si>
    <t>帯分数・仮分数の相互変換と同分母の加減算</t>
  </si>
  <si>
    <t>分数の大きさを比較し計算する</t>
  </si>
  <si>
    <t>帯分数・仮分数の概念と計算をマスターできる</t>
  </si>
  <si>
    <t>直方体と 立方体</t>
  </si>
  <si>
    <t>面・辺・頂点の位置関係や展開図・見取図</t>
  </si>
  <si>
    <t>展開図からの組み立てや平行・垂直な面を探す</t>
  </si>
  <si>
    <t>立体の構造を理解し展開図が描ける</t>
  </si>
  <si>
    <t>4年生の まとめ</t>
  </si>
  <si>
    <t>4年生の既習内容の確実な復習</t>
  </si>
  <si>
    <t>算数的な思考力・表現力を問う問題の演習</t>
  </si>
  <si>
    <t>全単元の達成度を確認し課題を解決できる</t>
  </si>
  <si>
    <t>整数と 小数の 仕組み</t>
  </si>
  <si>
    <t>10進法の仕組みを整数・小数の全体に拡張する</t>
  </si>
  <si>
    <t>10倍、1/10などの位置の変化を捉える</t>
  </si>
  <si>
    <t>10進法の原理を深く理解できる</t>
  </si>
  <si>
    <t>体積</t>
  </si>
  <si>
    <t>単位cm³, m³の意味と直方体・立方体の体積公式</t>
  </si>
  <si>
    <t>体積の求積と複合立体の体積計算</t>
  </si>
  <si>
    <t>体積公式を活用して多角的に体積を求められる</t>
  </si>
  <si>
    <t>(小数)×(小数)、(小数)÷(小数)の意味と筆算</t>
  </si>
  <si>
    <t>商の小数点の位置や余りの小数点を意識する</t>
  </si>
  <si>
    <t>小数同士の乗除算を正確に計算できる</t>
  </si>
  <si>
    <t>図形の 角</t>
  </si>
  <si>
    <t>三角形・四角形の内角の和の性質と応用</t>
  </si>
  <si>
    <t>多角形を三角形に分割して角の和を求める</t>
  </si>
  <si>
    <t>内角の和の法則を活用して未知の角を求められる</t>
  </si>
  <si>
    <t>偶数と 奇数、倍数と 約数</t>
  </si>
  <si>
    <t>公倍数・公約数・最大公約数・最小公倍数の算出</t>
  </si>
  <si>
    <t>数学的な論理で数を分類・整理する</t>
  </si>
  <si>
    <t>倍数・約数の関係を正確に見つけられる</t>
  </si>
  <si>
    <t>分数（1）（通分と 約分）</t>
  </si>
  <si>
    <t>異分母分数の大きさと通分・約分の手続き</t>
  </si>
  <si>
    <t>公倍数・公約数を用いて通分・約分を行う</t>
  </si>
  <si>
    <t>等しい分数の作り方と通分・約分ができる</t>
  </si>
  <si>
    <t>分数（2）（異分母の 加減算）</t>
  </si>
  <si>
    <t>通分を用いた異分母分数の加算・減算</t>
  </si>
  <si>
    <t>通分してから正確に計算を実行する</t>
  </si>
  <si>
    <t>異分母分数の加減算を確実に解ける</t>
  </si>
  <si>
    <t>単位あたり 量</t>
  </si>
  <si>
    <t>混み具合や人口密度など単位量あたりの比較</t>
  </si>
  <si>
    <t>2つの量の関係を立式し比較検討する</t>
  </si>
  <si>
    <t>単位量あたりの考え方を活用して比較できる</t>
  </si>
  <si>
    <t>割合と グラフ</t>
  </si>
  <si>
    <t>割合（百分率・歩合）の概念と帯グラフ・円グラフ</t>
  </si>
  <si>
    <t>割合＝比べられる量÷元にする量 を活用する</t>
  </si>
  <si>
    <t>割合の意味を正しく理解しグラフを読める</t>
  </si>
  <si>
    <t>正多角形と 円周</t>
  </si>
  <si>
    <t>円周率（π≒3.14）の意味と円周の長さの算定</t>
  </si>
  <si>
    <t>円周＝直径×円周率 を使って計算する</t>
  </si>
  <si>
    <t>円周率の意味と公式を正しく適用できる</t>
  </si>
  <si>
    <t>5年生の まとめ</t>
  </si>
  <si>
    <t>高学年算数の基礎の定着確認と発展演習</t>
  </si>
  <si>
    <t>発展的な文章題の解答と解説作成</t>
  </si>
  <si>
    <t>多角的な数学的思考力を発揮して解ける</t>
  </si>
  <si>
    <t>対称な 図形</t>
  </si>
  <si>
    <t>線対称・点対称な図形の定義と対応する要素</t>
  </si>
  <si>
    <t>対称の軸や対称の中心を見つけて作図する</t>
  </si>
  <si>
    <t>線対称・点対称の性質を正しく捉え作図できる</t>
  </si>
  <si>
    <t>分数の かけ算と 割り算</t>
  </si>
  <si>
    <t>(分数)×(分数)、(分数)÷(分数)の意味と計算</t>
  </si>
  <si>
    <t>逆数を用いた乗算化や途中で約分する技術</t>
  </si>
  <si>
    <t>分数の乗除算を確実に計算できる</t>
  </si>
  <si>
    <t>円の 面積</t>
  </si>
  <si>
    <t>円の面積公式の導出と計算</t>
  </si>
  <si>
    <t>円を細分化して長方形に変形する考え方を学ぶ</t>
  </si>
  <si>
    <t>円の面積公式の原理を理解し求められる</t>
  </si>
  <si>
    <t>比と その 利用</t>
  </si>
  <si>
    <t>比の意味、等しい比の性質、比の値</t>
  </si>
  <si>
    <t>等しい比の性質を活用して未知の数値を出す</t>
  </si>
  <si>
    <t>比の関係を正しく立式し実生活に応用できる</t>
  </si>
  <si>
    <t>拡大図と 縮図</t>
  </si>
  <si>
    <t>拡大・縮小の関係と縮尺を用いた実際の距離の算出</t>
  </si>
  <si>
    <t>縮尺図を作成し建造物の高さを推計する</t>
  </si>
  <si>
    <t>相似の基礎概念を理解し縮尺計算ができる</t>
  </si>
  <si>
    <t>およその 面積と 体積</t>
  </si>
  <si>
    <t>複雑な形状を既習の図形に見立てて概算する</t>
  </si>
  <si>
    <t>大きな湖の形などを長方形等に見立てる</t>
  </si>
  <si>
    <t>概算の重要性を理解し適切な概算ができる</t>
  </si>
  <si>
    <t>比例と 反比例</t>
  </si>
  <si>
    <t>2変数の比例・反比例の関係、表・式・グラフ</t>
  </si>
  <si>
    <t>y=ax, y=a/x の式とグラフを描く</t>
  </si>
  <si>
    <t>比例・反比例の特徴を多角的に分析できる</t>
  </si>
  <si>
    <t>並べ方と 組み合わせ</t>
  </si>
  <si>
    <t>樹形図や表を用いた場合の数のモデリング</t>
  </si>
  <si>
    <t>重なりや漏れのないように系統的に整理する</t>
  </si>
  <si>
    <t>場合の数を漏れなく正確に数え上げられる</t>
  </si>
  <si>
    <t>データの 活用</t>
  </si>
  <si>
    <t>ドットプロット、代表値（平均値・中央値・最頻値）</t>
  </si>
  <si>
    <t>データの散らばりや特徴を分析する</t>
  </si>
  <si>
    <t>代表値を適切に使いデータを根拠に説明できる</t>
  </si>
  <si>
    <t>2027年2月-2027年3月</t>
  </si>
  <si>
    <t>6年間の まとめ</t>
  </si>
  <si>
    <t>小学校6年間の算数概念の総復習と演習</t>
  </si>
  <si>
    <t>中学数学（正負の数・文字式等）への架け橋演習</t>
  </si>
  <si>
    <t>数学的な考え方の体系化と自立的解法ができる</t>
  </si>
  <si>
    <t>身の回りの 生き物</t>
  </si>
  <si>
    <t>昆虫や植物の観察と体のつくり・生息環境の理解</t>
  </si>
  <si>
    <t>虫眼鏡等を用いて詳細な観察記録をつける</t>
  </si>
  <si>
    <t>生き物の構造や環境に応じた特徴を理解できる</t>
  </si>
  <si>
    <t>風と ゴムの 力</t>
  </si>
  <si>
    <t>風やゴムの力による物の動きの変化</t>
  </si>
  <si>
    <t>風車やゴム動力車を走らせて距離を測定する</t>
  </si>
  <si>
    <t>力の強さと物の動きの関係を数値で理解できる</t>
  </si>
  <si>
    <t>昆虫の 育ちかた</t>
  </si>
  <si>
    <t>チョウなどの育ち方（卵・幼虫・蛹・成虫）</t>
  </si>
  <si>
    <t>飼育観察を通して成長のステップを可視化する</t>
  </si>
  <si>
    <t>昆虫の変態の特徴を理解できる</t>
  </si>
  <si>
    <t>2026年10月-2026年11月</t>
  </si>
  <si>
    <t>太陽と 影</t>
  </si>
  <si>
    <t>日陰の位置の変化と太陽の動きの規則性</t>
  </si>
  <si>
    <t>遮光板を用いた太陽観察と影の方向の記録</t>
  </si>
  <si>
    <t>太陽の位置と影の方向の関係を理解できる</t>
  </si>
  <si>
    <t>2026年12月-2027年1月</t>
  </si>
  <si>
    <t>光の 性質</t>
  </si>
  <si>
    <t>光の直進・反射・集光による温度変化の実験</t>
  </si>
  <si>
    <t>鏡を使って光を集め温度計で測定する</t>
  </si>
  <si>
    <t>反射光の特徴や集光による熱エネルギーを理解できる</t>
  </si>
  <si>
    <t>磁石の 性質</t>
  </si>
  <si>
    <t>磁石の極（N極・S極）、引き合う・退け合う力</t>
  </si>
  <si>
    <t>磁石に付く物・付かない物の分類実験を行う</t>
  </si>
  <si>
    <t>磁石の引き合う性質と磁力の働きを理解できる</t>
  </si>
  <si>
    <t>季節と 生き物（春）</t>
  </si>
  <si>
    <t>気温の変化と動植物の様子の変化の観察</t>
  </si>
  <si>
    <t>校庭のサクラや生き物の観察を行う</t>
  </si>
  <si>
    <t>季節と生物の活動の関連性を理解できる</t>
  </si>
  <si>
    <t>電気の 働き</t>
  </si>
  <si>
    <t>乾電池の直列・並列つなぎと電流の強さ</t>
  </si>
  <si>
    <t>簡易検流計で電流の大きさを測定する</t>
  </si>
  <si>
    <t>回路の接続方式と電流の強さを理解できる</t>
  </si>
  <si>
    <t>月と 星の 動き</t>
  </si>
  <si>
    <t>月や星の形・位置の変化と時間経過の関係</t>
  </si>
  <si>
    <t>方位を確かめて月や星座の位置を観察する</t>
  </si>
  <si>
    <t>天体の時間の経過による移動を理解できる</t>
  </si>
  <si>
    <t>人の 体の つくりと 運動</t>
  </si>
  <si>
    <t>骨と筋肉のつくりと関節の働きの理解</t>
  </si>
  <si>
    <t>自分の体の動きや模型を観察し構造を学ぶ</t>
  </si>
  <si>
    <t>骨と筋肉の連携運動の仕組みを理解できる</t>
  </si>
  <si>
    <t>金属・水・空気と 温度</t>
  </si>
  <si>
    <t>温度変化に伴う体積の膨張・収縮の実験</t>
  </si>
  <si>
    <t>試験管やフラスコを用いて熱膨張を実験する</t>
  </si>
  <si>
    <t>熱による状態や体積の物理的変化を理解できる</t>
  </si>
  <si>
    <t>水の つながりと 姿の変化</t>
  </si>
  <si>
    <t>水の三態変化（氷・水・水蒸気）と蒸発・凝縮</t>
  </si>
  <si>
    <t>水を加熱・冷却して温度と状態を記録する</t>
  </si>
  <si>
    <t>水の状態変化と温度の関係を正確に理解できる</t>
  </si>
  <si>
    <t>植物の 発芽と 成長</t>
  </si>
  <si>
    <t>発芽の条件と成長の条件の解明</t>
  </si>
  <si>
    <t>条件制御を行った対照実験を実施する</t>
  </si>
  <si>
    <t>発芽・成長に必要な要素を対照実験で確認できる</t>
  </si>
  <si>
    <t>メダカの 誕生と 育ち</t>
  </si>
  <si>
    <t>メダカの雌雄の見分け方、解剖顕微鏡での受精卵観察</t>
  </si>
  <si>
    <t>受精卵の発生の様子を経時的に記録観察する</t>
  </si>
  <si>
    <t>生命の誕生と連続性について深く理解できる</t>
  </si>
  <si>
    <t>台風と 天気の変化</t>
  </si>
  <si>
    <t>台風の進路、雲の動きと気象データ・雲画像の関係</t>
  </si>
  <si>
    <t>気象衛星画像や雨量データを収集分析する</t>
  </si>
  <si>
    <t>天気予報の仕組みと台風の脅威を理解できる</t>
  </si>
  <si>
    <t>流れる 水の 働きと 土地の変化</t>
  </si>
  <si>
    <t>浸食・搬送・堆積の作用と川の曲がり角の特徴</t>
  </si>
  <si>
    <t>実験用泥山で流水の観察実験を行う</t>
  </si>
  <si>
    <t>水流が地形に及ぼす地質的働きを理解できる</t>
  </si>
  <si>
    <t>物の 溶け方</t>
  </si>
  <si>
    <t>溶解、水溶液の重さの保存、溶解度と温度の関係</t>
  </si>
  <si>
    <t>食塩やホウ酸の溶解度実験と再結晶観察</t>
  </si>
  <si>
    <t>溶解の限界や温度による変化の原理を理解できる</t>
  </si>
  <si>
    <t>電磁石の 性質</t>
  </si>
  <si>
    <t>電磁石の極性、電流の強さや巻数と磁力の強さ</t>
  </si>
  <si>
    <t>コイルを作成し釘を引きつける実験を行う</t>
  </si>
  <si>
    <t>電流による磁場の発生と強さの制御を理解できる</t>
  </si>
  <si>
    <t>物の 燃え方と 空気</t>
  </si>
  <si>
    <t>燃焼に必要な気体（酸素）と燃焼後の変化</t>
  </si>
  <si>
    <t>集気瓶の中でローソクを燃やし気体検知管で調べる</t>
  </si>
  <si>
    <t>燃焼の化学的メカニズムと気体の変化を理解できる</t>
  </si>
  <si>
    <t>人と 体の 働き</t>
  </si>
  <si>
    <t>呼吸、消化、吸収、血液循環などの各器官の連携</t>
  </si>
  <si>
    <t>聴診器で心拍を聞き消化器のモデルを観察する</t>
  </si>
  <si>
    <t>人体の生命維持システムの連携を体系的に理解できる</t>
  </si>
  <si>
    <t>生き物と 環境の 関わり</t>
  </si>
  <si>
    <t>食べ物を通したつながり（食物連鎖）と空気・水の循環</t>
  </si>
  <si>
    <t>生態系における生産者・消費者のバランスを考察</t>
  </si>
  <si>
    <t>生物相互の関係と環境保全の重要性を理解できる</t>
  </si>
  <si>
    <t>大地の つくりと 変化</t>
  </si>
  <si>
    <t>地層の形成や化石からわかること</t>
  </si>
  <si>
    <t>土砂の沈殿実験や地層サンプルの観察を行う</t>
  </si>
  <si>
    <t>地層の形成過程と地球の地質的歴史を理解できる</t>
  </si>
  <si>
    <t>水溶液の 性質</t>
  </si>
  <si>
    <t>酸性・アルカリ性・中性の性質と金属を溶かす働き</t>
  </si>
  <si>
    <t>リトマス紙やBTB溶液を用いた識別実験</t>
  </si>
  <si>
    <t>各水溶液の化学的特性と安全な取扱いを理解できる</t>
  </si>
  <si>
    <t>電気の 利用</t>
  </si>
  <si>
    <t>発電、光・音・熱への変換、プログラミング</t>
  </si>
  <si>
    <t>手回し発電機で蓄電し各種センサーを動かす</t>
  </si>
  <si>
    <t>電気の変換効率と省エネプログラミングを理解できる</t>
  </si>
  <si>
    <t>2026年4月-2027年3月</t>
  </si>
  <si>
    <t>歌って おどって たのしく おんがく</t>
  </si>
  <si>
    <t>歌唱やリズム遊びを通じて音楽の楽しさを味わう</t>
  </si>
  <si>
    <t>手拍子、鍵盤ハーモニカの演奏、歌唱活動</t>
  </si>
  <si>
    <t>リズムに合わせて歌い楽しく演奏に参加できる</t>
  </si>
  <si>
    <t>みんなで たのしく えんそうしよう</t>
  </si>
  <si>
    <t>鍵盤ハーモニカや打楽器の奏法を工夫し合奏する</t>
  </si>
  <si>
    <t>簡単な旋律の合奏、斉唱、音の重なりの鑑賞</t>
  </si>
  <si>
    <t>互いの音を聴き合い合わせて演奏できる</t>
  </si>
  <si>
    <t>リコーダーとなかよく、楽曲の雰囲気を味わおう</t>
  </si>
  <si>
    <t>ソプラノリコーダーの基本奏法習得と合唱</t>
  </si>
  <si>
    <t>リコーダー演習、旋律や旋律の重なりの合唱</t>
  </si>
  <si>
    <t>指使いを正しく習得し美しい響きで歌唱・演奏できる</t>
  </si>
  <si>
    <t>いろいろな響きを楽しもう</t>
  </si>
  <si>
    <t>和音の響きや部分的な役割を意識して合唱・合奏する</t>
  </si>
  <si>
    <t>二部合唱、各種楽器での合奏、楽曲鑑賞</t>
  </si>
  <si>
    <t>二部合唱の美しさを捉え表現を工夫できる</t>
  </si>
  <si>
    <t>音楽の構造を意識して表現しよう</t>
  </si>
  <si>
    <t>曲の構造（ハ長調、イ短調等）や旋律の重なりを捉える</t>
  </si>
  <si>
    <t>三部合唱、和音進行に合わせた表現の工夫</t>
  </si>
  <si>
    <t>曲想の変化や構造を理解し豊かな表現ができる</t>
  </si>
  <si>
    <t>思いを込めて表現し、伝統音楽に触れよう</t>
  </si>
  <si>
    <t>日本の伝統音楽や世界の音楽に親しみ歌声を響かせる</t>
  </si>
  <si>
    <t>卒業歌の合唱、箏や日本の和楽器体験・鑑賞</t>
  </si>
  <si>
    <t>楽曲の背景やメッセージを汲み取り情意豊かに表現できる</t>
  </si>
  <si>
    <t>図画工作</t>
  </si>
  <si>
    <t>形や 色で あそぼう</t>
  </si>
  <si>
    <t>粘土や絵の具、造形遊びを通して材料に親しむ</t>
  </si>
  <si>
    <t>粘土成形、指絵の具、空き箱クラフト</t>
  </si>
  <si>
    <t>材料の感触を楽しみ自分の思いを伸び伸び表現できる</t>
  </si>
  <si>
    <t>工夫して つくろう・えがこう</t>
  </si>
  <si>
    <t>ハサミやカッター（指導下）等の工具を使い作品を作る</t>
  </si>
  <si>
    <t>カッターナイフの安全な使用、版画遊び</t>
  </si>
  <si>
    <t>材料や道具の特徴を活かし意欲的に工夫して作れる</t>
  </si>
  <si>
    <t>材料や用具をためして広げよう</t>
  </si>
  <si>
    <t>鋸や金づちなどの工具を試して木工工作を行う</t>
  </si>
  <si>
    <t>木工、絵の具の混色表現、鑑賞カード作成</t>
  </si>
  <si>
    <t>工具の安全な扱いを身につけ創造力豊かに表現できる</t>
  </si>
  <si>
    <t>表現の工夫を深めよう</t>
  </si>
  <si>
    <t>飛び出すカードや立体表現、版画の工夫</t>
  </si>
  <si>
    <t>多色刷り版画、立体建造物の制作</t>
  </si>
  <si>
    <t>奥行きや立体の構成を意識して創造的に作れる</t>
  </si>
  <si>
    <t>気持ちやメッセージを込めた造形</t>
  </si>
  <si>
    <t>糸ノコギリ等の活用やメッセージ性のある造形</t>
  </si>
  <si>
    <t>電動糸ノコギリによる立体工作、絵画制作</t>
  </si>
  <si>
    <t>発想や構想を広げ意図を持って作品を仕上げられる</t>
  </si>
  <si>
    <t>自らの思いを形にする総合造形</t>
  </si>
  <si>
    <t>小中学校の思い出や未来の自分を立体・絵画で表現</t>
  </si>
  <si>
    <t>立体表現、地域の美の探究、鑑賞発表会</t>
  </si>
  <si>
    <t>テーマの意図を明確にし工夫を凝らした完成度の高い作品を作れる</t>
  </si>
  <si>
    <t>くらしと豊かな食・手縫いの基礎</t>
  </si>
  <si>
    <t>基本的な調理（茹でる等）や手縫い技術の習得</t>
  </si>
  <si>
    <t>ゆで野菜サラダ作り、ボタン付け、給食の栄養学習</t>
  </si>
  <si>
    <t>安全に配慮して包丁や針を扱い基礎的な生活技能を身につけられる</t>
  </si>
  <si>
    <t>まかせてね今日の食事・ミシンで快適衣服</t>
  </si>
  <si>
    <t>炒める調理、ミシンを活用したバッグ作り、住まい</t>
  </si>
  <si>
    <t>朝食のおかず作り、ミシン製作、掃除やエコロジー</t>
  </si>
  <si>
    <t>ミシンを正しく扱い家族や生活を豊かにする工夫ができる</t>
  </si>
  <si>
    <t>体育</t>
  </si>
  <si>
    <t>からだあそび・走・跳・水あそび・表現あそび</t>
  </si>
  <si>
    <t>身体を動かす楽しさを味わい運動の基礎を作る</t>
  </si>
  <si>
    <t>各種鬼ごっこ、マット・跳び箱あそび、水あそび</t>
  </si>
  <si>
    <t>ルールを守り友達と仲良く元気に身体を動かせる</t>
  </si>
  <si>
    <t>いろいろな 運動あそびに チャレンジ</t>
  </si>
  <si>
    <t>様々な運動の組み合わせや簡単なゲームを楽しむ</t>
  </si>
  <si>
    <t>ボールなげあそび、鉄棒あそび、表現あそび</t>
  </si>
  <si>
    <t>基本的な動作を身につけ安全に配慮して運動できる</t>
  </si>
  <si>
    <t>走・跳・器械運動・浮く・泳ぐ運動・保健</t>
  </si>
  <si>
    <t>運動の行い方を理解し自己の記録更新に挑む</t>
  </si>
  <si>
    <t>短距離走、小型ハードル走、水泳運動、保健学習</t>
  </si>
  <si>
    <t>基本的な技や走り方を身につけ意欲的に取り組める</t>
  </si>
  <si>
    <t>ネット型・ゴール型ゲーム・器械・水泳・保健</t>
  </si>
  <si>
    <t>チームで協力してゲームを行う楽しさを味わう</t>
  </si>
  <si>
    <t>セストボール、プレルボール、水泳、体の発達の保健</t>
  </si>
  <si>
    <t>作戦を話し合い相手や仲間に配慮して動ける</t>
  </si>
  <si>
    <t>陸上・器械運動・ボール運動・水泳・保健</t>
  </si>
  <si>
    <t>技のポイントを理解し自己やチームの課題を解決する</t>
  </si>
  <si>
    <t>ハードル走、バスケットボール、けがの予防保健</t>
  </si>
  <si>
    <t>自分の課題に応じた練習手順を考え実践できる</t>
  </si>
  <si>
    <t>集大成の運動・ゴール型・表現・病気の予防</t>
  </si>
  <si>
    <t>運動の特性を味わい生涯スポーツの基礎を作る</t>
  </si>
  <si>
    <t>サッカー、フラッグフットボール、病気の予防保健</t>
  </si>
  <si>
    <t>仲間と助け合いフェアプレーの精神で運動に挑戦できる</t>
  </si>
  <si>
    <t>外国語活動</t>
  </si>
  <si>
    <t>Hello! / How are you? / What do you like?</t>
  </si>
  <si>
    <t>英語の音声や基本的な挨拶に親しみコミュニケーションを図る</t>
  </si>
  <si>
    <t>ゲーム、歌、カードを用いた英会話体験</t>
  </si>
  <si>
    <t>英語の音に親しみ進んで挨拶や好きなものを伝え合える</t>
  </si>
  <si>
    <t>Do you have a pen? / What time is it?</t>
  </si>
  <si>
    <t>時刻や学校生活、欲しいものを聞いたり答えたりする</t>
  </si>
  <si>
    <t>文房具の受け渡し演習、一日の生活の英語発表</t>
  </si>
  <si>
    <t>相手に伝わるように身振り等を交えて英語でコミュニケーションできる</t>
  </si>
  <si>
    <t>外国語</t>
  </si>
  <si>
    <t>Hello, everyone. / My birthday is... / Welcome to Japan.</t>
  </si>
  <si>
    <t>自分のことや日本の文化について簡単な読み書き・会話をする</t>
  </si>
  <si>
    <t>アルファベットの読み書き、自己紹介スピーチ</t>
  </si>
  <si>
    <t>基本的な語彙や表現を用いて自分の考えを書いたり話したりできる</t>
  </si>
  <si>
    <t>My Summer Vacation / My Junior High School Life</t>
  </si>
  <si>
    <t>思い出や将来の夢、中学校で頑張りたいことを発表する</t>
  </si>
  <si>
    <t>英文の読み書き、スピーチプレゼンテーション</t>
  </si>
  <si>
    <t>目的や状況に応じて聞き手に伝わる文構成で英語を発表できる</t>
  </si>
  <si>
    <t>あかるい あいさつ / みんなの もの / 正直な 心</t>
  </si>
  <si>
    <t>挨拶の大切さや友達と仲良くすることの大切さを理解する</t>
  </si>
  <si>
    <t>道徳教科書の読み聞かせ、ロールプレイ、役割演技</t>
  </si>
  <si>
    <t>道徳的価値に気づき日常の行動に生かそうとする</t>
  </si>
  <si>
    <t>わがままを しない / いのちの つながり</t>
  </si>
  <si>
    <t>身近な人々への感謝や規則を守ることの意味を考える</t>
  </si>
  <si>
    <t>登場人物の行動の比較、話し合い活動</t>
  </si>
  <si>
    <t>自分の生活を振り返り互いに協力し合おうとする</t>
  </si>
  <si>
    <t>思いやり・親切 / 公平・公道 / 郷土を愛する心</t>
  </si>
  <si>
    <t>他者への心遣いや地域への関心・誇りを深める</t>
  </si>
  <si>
    <t>親切にされた経験の共有、地域の行事の話し合い</t>
  </si>
  <si>
    <t>自他の立場を尊重し進んで思いやりのある態度が取れる</t>
  </si>
  <si>
    <t>自分の限界に挑む / 自然の愛護 / 伝統と文化</t>
  </si>
  <si>
    <t>自然の尊さや目標に向かってやり遂げる意欲を高める</t>
  </si>
  <si>
    <t>偉人の生き方の鑑賞、ワークショップでの議論</t>
  </si>
  <si>
    <t>粘り強く努力することや自然を大切にする意識を持てる</t>
  </si>
  <si>
    <t>自由と責任 / 家族愛 / 生命の尊厳</t>
  </si>
  <si>
    <t>自由に伴う責任や命のかけがえのなさを思索する</t>
  </si>
  <si>
    <t>多様な価値観についての多角的なディスカッション</t>
  </si>
  <si>
    <t>自律的な生活態度を身につけ生命を尊重しようとする</t>
  </si>
  <si>
    <t>国を愛する心 / 国際理解 / より誇りある自分</t>
  </si>
  <si>
    <t>最高学年としての生き方や世界の人々との共生を考える</t>
  </si>
  <si>
    <t>社会的な課題についての意見交換、振り返り記述</t>
  </si>
  <si>
    <t>高い目標を持ち平和で持続可能な社会作りに寄与する意欲を持てる</t>
  </si>
  <si>
    <t>朝のリレー / 言葉の単位</t>
  </si>
  <si>
    <t>詩の朗読と現代日本語の構造（文・文節・単語）を理解する</t>
  </si>
  <si>
    <t>群読の実施と文節・単語への区切り演習</t>
  </si>
  <si>
    <t>詩の情景を味わい文節分けを正しく実行できる</t>
  </si>
  <si>
    <t>少年の日の思い出</t>
  </si>
  <si>
    <t>登場人物のエーミールとエーリヒの心理的葛藤を読み取る</t>
  </si>
  <si>
    <t>エーミールの行動と少年の心情変化を整理する</t>
  </si>
  <si>
    <t>語句の意味を捉え登場人物の複雑な心理を読み取れる</t>
  </si>
  <si>
    <t>言葉をもつ鳥、シジュウカラ</t>
  </si>
  <si>
    <t>説明文の論理構成と検証の手順を正確に読み取る</t>
  </si>
  <si>
    <t>研究の仮説と検証実験のプロセスを整理する</t>
  </si>
  <si>
    <t>事実と考察の関係を捉え筆者の主張を要約できる</t>
  </si>
  <si>
    <t>詩の世界（野原はうたう等）</t>
  </si>
  <si>
    <t>詩の表現技法（比喩・擬人法・リフレイン）を学ぶ</t>
  </si>
  <si>
    <t>自作の詩の作成と詩の鑑賞会の実施</t>
  </si>
  <si>
    <t>表現技法の効果を捉え自分の情操を詩に表現できる</t>
  </si>
  <si>
    <t>大人になれなかった弟たちに…</t>
  </si>
  <si>
    <t>太平洋戦争下の生活と筆者の心情を深く理解する</t>
  </si>
  <si>
    <t>戦時下の状況と弟への思いを読み取り話し合う</t>
  </si>
  <si>
    <t>文章の背景にある戦時下の思いを捉え読める</t>
  </si>
  <si>
    <t>星花火 / 竹取物語</t>
  </si>
  <si>
    <t>古典の暗唱と竹取物語の世界観・歴史的特質を理解する</t>
  </si>
  <si>
    <t>仮名遣いの確認と歴史的背景・暗唱演習</t>
  </si>
  <si>
    <t>歴史的仮名遣いを正しく読み古典の持つ響きを楽しめる</t>
  </si>
  <si>
    <t>情報を集めて報告しよう</t>
  </si>
  <si>
    <t>アンケート調査等を実施し報告文を作成する</t>
  </si>
  <si>
    <t>調査・グラフ化・客観的な報告文章の執筆</t>
  </si>
  <si>
    <t>収集したデータを客観的に分析し説得力ある報告ができる</t>
  </si>
  <si>
    <t>今に生きる言葉（故事成語）</t>
  </si>
  <si>
    <t>故事成語の成り立ちと故事の意味を正しく理解する</t>
  </si>
  <si>
    <t>漢文の訓読と故事成語を使った作文演習</t>
  </si>
  <si>
    <t>故事成語の意味と背景を理解し適切に現代文で活用できる</t>
  </si>
  <si>
    <t>少年の日の思い出（深掘り・批評）</t>
  </si>
  <si>
    <t>文学作品に対する自分なりの批評文を書く</t>
  </si>
  <si>
    <t>作品の主題について自分の見解を論述する</t>
  </si>
  <si>
    <t>作品の根拠を示して根拠ある批評文が書ける</t>
  </si>
  <si>
    <t>不便の益</t>
  </si>
  <si>
    <t>対比の論理展開を理解し筆者の意見を批評する</t>
  </si>
  <si>
    <t>便利さと不便さの利点を整理して話し合う</t>
  </si>
  <si>
    <t>筆者の論理構成を見極め自分の考えをまとめられる</t>
  </si>
  <si>
    <t>1年間の学習の総括と読書</t>
  </si>
  <si>
    <t>学習した言語事項の復習とおすすめ本のスピーチ</t>
  </si>
  <si>
    <t>ブックトークの実施とポートフォリオの作成</t>
  </si>
  <si>
    <t>表現の多様性を実感し自らの読書生活を振り返ることができる</t>
  </si>
  <si>
    <t>アイスプラネット</t>
  </si>
  <si>
    <t>ぐうたらな「ぐうちゃん」と主人公の心情変化を読み取る</t>
  </si>
  <si>
    <t>「ぐうちゃん」の言葉や行動の象徴性を考える</t>
  </si>
  <si>
    <t>登場人物の人物像や生き方を深掘りして捉えられる</t>
  </si>
  <si>
    <t>言葉の力</t>
  </si>
  <si>
    <t>言葉の持つ役割と他者とのコミュニケーションのあり方を学ぶ</t>
  </si>
  <si>
    <t>筆者の体験と主張の関係を整理する</t>
  </si>
  <si>
    <t>言葉の重要性を理解し筆者の意図を説明できる</t>
  </si>
  <si>
    <t>クマセミ増加の原因を探る</t>
  </si>
  <si>
    <t>仮説と検証のプロセスを整理し科学的説明文を読む</t>
  </si>
  <si>
    <t>データやグラフの役割を読み取る</t>
  </si>
  <si>
    <t>データと本文の関係を正しく分析し読み取れる</t>
  </si>
  <si>
    <t>短歌・俳句の世界</t>
  </si>
  <si>
    <t>五・七・五（七・七）の音数律や切れ字の効果を味わう</t>
  </si>
  <si>
    <t>作品の鑑賞と自作の短歌・俳句の創作</t>
  </si>
  <si>
    <t>情景や心情が言葉に凝縮された効果を解釈できる</t>
  </si>
  <si>
    <t>走れメロス</t>
  </si>
  <si>
    <t>友情と信頼を描いた名作の構造と人間像を読み取る</t>
  </si>
  <si>
    <t>場面展開とメロスの心理の移り変わりを追う</t>
  </si>
  <si>
    <t>登場人物の心理的葛藤とドラマチックな展開を捉えられる</t>
  </si>
  <si>
    <t>平家物語（扇ののぞ的等）</t>
  </si>
  <si>
    <t>中世の軍記物語の表現手法と武士の生き様を読み取る</t>
  </si>
  <si>
    <t>「祇園精舎」「那須与一」の音読と現代語訳</t>
  </si>
  <si>
    <t>原文の調子を楽しんで音読し古典的な価値を理解できる</t>
  </si>
  <si>
    <t>提案しよう、地域の課題</t>
  </si>
  <si>
    <t>地域の課題に対する解決策を根拠立てて作文する</t>
  </si>
  <si>
    <t>取材や資料収集を行い説得力ある提案書を作る</t>
  </si>
  <si>
    <t>事実と意見を明確に分け根拠ある提案ができる</t>
  </si>
  <si>
    <t>漢詩の風景</t>
  </si>
  <si>
    <t>春暁、黄鶴楼にて孟浩然の広陵に之く等の鑑賞</t>
  </si>
  <si>
    <t>絶句・律詩の決まりや押韻・対句を学ぶ</t>
  </si>
  <si>
    <t>漢詩の情景や詩人の心情を正しく鑑賞できる</t>
  </si>
  <si>
    <t>モアイは語る</t>
  </si>
  <si>
    <t>イースター島の環境破壊と地球の未来についての論説を読む</t>
  </si>
  <si>
    <t>文明の興亡と環境問題の因果関係を捉える</t>
  </si>
  <si>
    <t>筆者の提言を正確に理解し自分の考えを深められる</t>
  </si>
  <si>
    <t>君は「最後の朝顔」を見たか</t>
  </si>
  <si>
    <t>調査に基づく論説文の構成と根拠の提示方法を調べる</t>
  </si>
  <si>
    <t>段落間の接続や構成案の分析を行う</t>
  </si>
  <si>
    <t>説得力のある根拠提示の仕方を理解できる</t>
  </si>
  <si>
    <t>2年生のまとめと表現交流</t>
  </si>
  <si>
    <t>既習事項の確認と意見文のプレゼンテーション</t>
  </si>
  <si>
    <t>自分の考えを発表し相互評価を行う</t>
  </si>
  <si>
    <t>自らの考えを論理的かつ表現豊かに伝えることができる</t>
  </si>
  <si>
    <t>握手</t>
  </si>
  <si>
    <t>ルロイ修道士の指言葉と主人公の回想から生き方を読み取る</t>
  </si>
  <si>
    <t>回想シーンの役割とルロイ修道士の生き様を議論</t>
  </si>
  <si>
    <t>言葉や仕草に込められた深い思いや人間像を解釈できる</t>
  </si>
  <si>
    <t>言葉のささざれ</t>
  </si>
  <si>
    <t>言語の変遷や表現の繊細さについて理解を深める</t>
  </si>
  <si>
    <t>言葉のニュアンスの違いや新語・流行語を調べる</t>
  </si>
  <si>
    <t>言語活動の豊かさを実感し表現力を高められる</t>
  </si>
  <si>
    <t>「言葉」をもつ生き物</t>
  </si>
  <si>
    <t>論理の展開と筆者の提示する概念の定義を理解する</t>
  </si>
  <si>
    <t>論説文の要約と筆者の思考ステップの可視化</t>
  </si>
  <si>
    <t>複雑な論理構成を整理し正確に要約できる</t>
  </si>
  <si>
    <t>和歌のあゆみ（万葉・古今・新古今）</t>
  </si>
  <si>
    <t>三大和歌集の歌風の違いや代表的歌人の表現を比較する</t>
  </si>
  <si>
    <t>歌風の違いの整理と表現技巧（掛詞・枕詞等）の解析</t>
  </si>
  <si>
    <t>時代による表現スタイルの違いを把握し鑑賞できる</t>
  </si>
  <si>
    <t>故郷（魯迅）</t>
  </si>
  <si>
    <t>ヤンおばさんやルンジウとの再会を通した社会の変革を描く</t>
  </si>
  <si>
    <t>主人公の失望と未来への希望のメッセージを議論</t>
  </si>
  <si>
    <t>時代背景と登場人物の変化から作品の主題を考察できる</t>
  </si>
  <si>
    <t>おくのほそ道</t>
  </si>
  <si>
    <t>芭蕉の旅の目的と芭蕉句の情景・古典文学の魅力を味わう</t>
  </si>
  <si>
    <t>「平泉」「日光」などの章の音読と解釈</t>
  </si>
  <si>
    <t>俳諧の精神や旅の中での感性を正しく捉えられる</t>
  </si>
  <si>
    <t>温かいスープ / 合意形成を図る論議</t>
  </si>
  <si>
    <t>対立する意見をすり合わせ合意形成を行うディベート</t>
  </si>
  <si>
    <t>グループ討論と合意形成プロセスの振り返り</t>
  </si>
  <si>
    <t>互いの意見を尊重し納得のいく合意を形成できる</t>
  </si>
  <si>
    <t>夏草—「おくのほそ道」より</t>
  </si>
  <si>
    <t>古典作品の文学的価値と現代社会への繋がりを思考する</t>
  </si>
  <si>
    <t>章句の対比と芭蕉の思想の考察</t>
  </si>
  <si>
    <t>古典の表現が現代に与える影響や価値を説明できる</t>
  </si>
  <si>
    <t>わたしを束ねないで（詩）</t>
  </si>
  <si>
    <t>自由と自己の確立を訴える現代詩のメッセージを解釈する</t>
  </si>
  <si>
    <t>詩の表現技法や連の構成の解析</t>
  </si>
  <si>
    <t>詩人の情意を深く受け止め自らの生き方を洞察できる</t>
  </si>
  <si>
    <t>温かな眼差し（論文）</t>
  </si>
  <si>
    <t>総合的な論説文の解読と論理的批評の作成</t>
  </si>
  <si>
    <t>文章全体の論理構成と根拠の有効性の検証</t>
  </si>
  <si>
    <t>高度な文章を正確に読み取り批評的意見を書ける</t>
  </si>
  <si>
    <t>中学校のまとめ・卒業文集作成</t>
  </si>
  <si>
    <t>3年間の学びの成果を文集やスピーチで表現する</t>
  </si>
  <si>
    <t>卒業文集の執筆・推推校と記念スピーチ</t>
  </si>
  <si>
    <t>論理力・表現力を総合的に発揮し完成度の高い文が書ける</t>
  </si>
  <si>
    <t>社会（地理）</t>
  </si>
  <si>
    <t>世界の姿と地域区分</t>
  </si>
  <si>
    <t>六大陸と三洋、経度・緯度、世界の大州の区分を理解する</t>
  </si>
  <si>
    <t>地球儀や世界地図を活用して位置や広がりを調べる</t>
  </si>
  <si>
    <t>世界の位置関係や領域の概要を正しく理解できる</t>
  </si>
  <si>
    <t>世界各地の生活と環境</t>
  </si>
  <si>
    <t>寒帯・乾燥帯・温帯・熱帯等の自然環境と暮らしの関係</t>
  </si>
  <si>
    <t>各地の気候グラフの比較や住居・衣食の特色の整理</t>
  </si>
  <si>
    <t>環境に適応した世界の人々の暮らしの多様性を理解できる</t>
  </si>
  <si>
    <t>社会（歴史）</t>
  </si>
  <si>
    <t>歴史のあけぼの～古代国家の形成</t>
  </si>
  <si>
    <t>人類の発生から縄文・弥生・大和政権・律令国家の確立</t>
  </si>
  <si>
    <t>遺跡・遺物資料の分析と律令制度の仕組みの解明</t>
  </si>
  <si>
    <t>我が国の国家形成の過程と大陸文化の影響を理解できる</t>
  </si>
  <si>
    <t>貴族の政治と武士の台頭</t>
  </si>
  <si>
    <t>平安時代の摂関政治・国風文化から鎌倉幕府の成立</t>
  </si>
  <si>
    <t>貴族文化と武士の政治生活の違いを比較・考察する</t>
  </si>
  <si>
    <t>政治の中心の変化と武士社会の特色を理解できる</t>
  </si>
  <si>
    <t>日本の姿と地域構成</t>
  </si>
  <si>
    <t>日本の位置、領域、時差、都道府県と7道州の区分</t>
  </si>
  <si>
    <t>地形図の読み取りや日本の自然・人口の特色の分析</t>
  </si>
  <si>
    <t>日本の国土の特徴や地域区分の意味を理解できる</t>
  </si>
  <si>
    <t>世界と日本の結びつき</t>
  </si>
  <si>
    <t>貿易や交通・通信を通じた国際的相互依存関係</t>
  </si>
  <si>
    <t>日本の主要貿易国と品目の変化の考察</t>
  </si>
  <si>
    <t>グローバル化における日本の役割を理解できる</t>
  </si>
  <si>
    <t>日本の地域的特色（自然・人口・産業）</t>
  </si>
  <si>
    <t>日本の地形、気候、人口過疎・過密、産業の構造</t>
  </si>
  <si>
    <t>各種統計資料や主題図を用いた地域的特色の分析</t>
  </si>
  <si>
    <t>日本全体の自然環境と人々の活動の関係を理解できる</t>
  </si>
  <si>
    <t>日本の諸地域（九州～関東・東北）</t>
  </si>
  <si>
    <t>日本国内の各地方の自然・歴史・産業の多様性</t>
  </si>
  <si>
    <t>地方ごとの課題（環境保全、産業振興）の調査</t>
  </si>
  <si>
    <t>各地方の地域的特色と直面する課題を多角的に理解できる</t>
  </si>
  <si>
    <t>室町幕府と安土桃山時代</t>
  </si>
  <si>
    <t>東アジアとの交流、室町文化、織豊政権と天下統一</t>
  </si>
  <si>
    <t>年表や史料を活用し社会構造の変化を解明する</t>
  </si>
  <si>
    <t>武家社会の発展と近世への転換過程を理解できる</t>
  </si>
  <si>
    <t>江戸幕府の確立と泰平の世</t>
  </si>
  <si>
    <t>幕藩体制、鎖国、元禄・化政文化、産業の発達</t>
  </si>
  <si>
    <t>幕府の支配構造や民衆生活の変化を比較分析する</t>
  </si>
  <si>
    <t>江戸時代の政治的安定と文化の成熟過程を理解できる</t>
  </si>
  <si>
    <t>欧米の欧化と開国・明治維新</t>
  </si>
  <si>
    <t>産業革命・市民革命、ペリー来航と明治維新の改革</t>
  </si>
  <si>
    <t>近代化政策（富国強兵・殖産興業）の評価</t>
  </si>
  <si>
    <t>日本が近代国家としての歩みを始めた過程を理解できる</t>
  </si>
  <si>
    <t>近代日本の歩みとアジア</t>
  </si>
  <si>
    <t>日清・日露戦争と条約改正、産業革命の進展</t>
  </si>
  <si>
    <t>当時の風刺画や外交文書を用いた分析</t>
  </si>
  <si>
    <t>近代日本の国際的地位の変化と影響を理解できる</t>
  </si>
  <si>
    <t>二つの世界大戦と日本</t>
  </si>
  <si>
    <t>第一次・第二次世界大戦の背景と日本の政情変化</t>
  </si>
  <si>
    <t>世界恐慌から太平洋戦争への経緯と戦争の悲惨さ</t>
  </si>
  <si>
    <t>戦争の経緯と国民生活への影響を多角的に理解できる</t>
  </si>
  <si>
    <t>戦後の日本と国際社会</t>
  </si>
  <si>
    <t>占領政策と日本国憲法制定、高度経済成長の歩み</t>
  </si>
  <si>
    <t>戦後の復興過程と国際社会への復帰の分析</t>
  </si>
  <si>
    <t>現代日本の平和主義と経済復興の歩みを理解できる</t>
  </si>
  <si>
    <t>社会（公民）</t>
  </si>
  <si>
    <t>現代社会とわたしたちのくらし・憲法</t>
  </si>
  <si>
    <t>現代社会の特徴（情報化・少子高齢化）と日本国憲法</t>
  </si>
  <si>
    <t>憲法の基本原理（人権保障・平和主義・主権在民）</t>
  </si>
  <si>
    <t>現代社会の課題と憲法の理念の意義を理解できる</t>
  </si>
  <si>
    <t>民主政治と政治の仕組み</t>
  </si>
  <si>
    <t>選挙制度、国会・内閣・裁判所の役割と三権分立</t>
  </si>
  <si>
    <t>ニュースや裁判例を題材とした政治機構の分析</t>
  </si>
  <si>
    <t>民主主義の意義と政治のチェック機能を理解できる</t>
  </si>
  <si>
    <t>市場経済と暮らし・財政・金融</t>
  </si>
  <si>
    <t>価格の決定（需要供給）、企業、金融、租税の役割</t>
  </si>
  <si>
    <t>市場機構のグラフの分析と国家予算の検討</t>
  </si>
  <si>
    <t>経済活動の仕組みと国民福祉のための政財政を理解できる</t>
  </si>
  <si>
    <t>国際社会の課題と未来の選択</t>
  </si>
  <si>
    <t>国連の働き、環境・貧困問題、持続可能な未来</t>
  </si>
  <si>
    <t>SDGsに関する課題解決探究とプレゼンテーション</t>
  </si>
  <si>
    <t>地球規模の課題に対し主体的に関わる態度を育成できる</t>
  </si>
  <si>
    <t>正の数・負の数</t>
  </si>
  <si>
    <t>負の数の概念、絶対値、四則計算のマスター</t>
  </si>
  <si>
    <t>数直線を用いた計算と符号の変化法則の演習</t>
  </si>
  <si>
    <t>正負の数の概念を正確に捉え四則計算を確実に解ける</t>
  </si>
  <si>
    <t>文字の式</t>
  </si>
  <si>
    <t>文字（x, y等）を用いた数量の関係の表現と計算</t>
  </si>
  <si>
    <t>代入、式の値の算出、一次式の加減計算</t>
  </si>
  <si>
    <t>数量関係を文字式に正しく立式し計算できる</t>
  </si>
  <si>
    <t>方程式</t>
  </si>
  <si>
    <t>一次方程式の解き方（等式の性質）と文章題への適用</t>
  </si>
  <si>
    <t>移項を利用した方程式の解法と文章題のモデル化</t>
  </si>
  <si>
    <t>方程式を解き実生活の課題に適用・検証できる</t>
  </si>
  <si>
    <t>比例と反比例</t>
  </si>
  <si>
    <t>y=ax, y=a/x の概念、変域、表・式・グラフの相互変換</t>
  </si>
  <si>
    <t>座標平面上へのグラフの描画と関数の特徴分析</t>
  </si>
  <si>
    <t>関数の変化の様子を式やグラフから多角的に分析できる</t>
  </si>
  <si>
    <t>平面図形と空間図形</t>
  </si>
  <si>
    <t>作図（垂直二等分線・角の二等分線）、立体の体積・表面積</t>
  </si>
  <si>
    <t>コンパスを用いた作図と立体の見取図・展開図計算</t>
  </si>
  <si>
    <t>作図の手順を理解し立体の量的な特徴を算定できる</t>
  </si>
  <si>
    <t>データの活用</t>
  </si>
  <si>
    <t>ヒストグラム、度数分布表、相対度数、代表値の分析</t>
  </si>
  <si>
    <t>データの散らばりを整理し特徴を分析する</t>
  </si>
  <si>
    <t>資料の傾向を正しく読み取り根拠を持って判断できる</t>
  </si>
  <si>
    <t>式と計算</t>
  </si>
  <si>
    <t>多項式の加減、単項式の乗除、文字式の利用（証明）</t>
  </si>
  <si>
    <t>文字式を使った偶数・奇数の性質の証明演習</t>
  </si>
  <si>
    <t>文字式を活用して数理的な性質を論理的に説明できる</t>
  </si>
  <si>
    <t>連立方程式</t>
  </si>
  <si>
    <t>加減法・代入法による二元一次連立方程式の解法</t>
  </si>
  <si>
    <t>連立方程式の計算演習と複雑な文章題の解決</t>
  </si>
  <si>
    <t>連立方程式を正確に解き文章題の立式ができる</t>
  </si>
  <si>
    <t>一次関数</t>
  </si>
  <si>
    <t>y=ax+b の意味、変化の割合、傾きと切片、二直線交点</t>
  </si>
  <si>
    <t>一次関数のグラフの描画と方程式との関係理解</t>
  </si>
  <si>
    <t>一次関数を用いて自然・社会現象のモデリングができる</t>
  </si>
  <si>
    <t>図形の性質と合同</t>
  </si>
  <si>
    <t>平行線と角、多角形の角、三角の合同条件と証明</t>
  </si>
  <si>
    <t>合同条件を当てはめた数学的証明の書き方演習</t>
  </si>
  <si>
    <t>根拠を筋道立てて示し図形の合同を証明できる</t>
  </si>
  <si>
    <t>特別な四角形と確率</t>
  </si>
  <si>
    <t>二等辺三角形・平行四辺形の性質、確率の求め方</t>
  </si>
  <si>
    <t>樹形図や表を用いた確率の算定と論理的考察</t>
  </si>
  <si>
    <t>図形の性質を適用し場合の数と確率を正しく出せる</t>
  </si>
  <si>
    <t>箱ひげ図とデータの比較</t>
  </si>
  <si>
    <t>四分位数と箱ひげ図の描画・データの比較分析</t>
  </si>
  <si>
    <t>複数データの箱ひげ図を比較して特徴を読み取る</t>
  </si>
  <si>
    <t>箱ひげ図を用いてデータの散らばりを客観的に評価できる</t>
  </si>
  <si>
    <t>多項式（展開と因数分解）</t>
  </si>
  <si>
    <t>乗法公式（(x+a)(x+b)等）を用いた展開と因数分解</t>
  </si>
  <si>
    <t>公式のマスターと式の計算の工夫・証明への応用</t>
  </si>
  <si>
    <t>乗法公式を自在に活用し正確に因数分解できる</t>
  </si>
  <si>
    <t>平方根</t>
  </si>
  <si>
    <t>平方根の概念（√）、根号を含む式の計算と有理化</t>
  </si>
  <si>
    <t>√の計算公式を用いた根号を含む加減乗除演習</t>
  </si>
  <si>
    <t>平方根の意味を正確に理解し根号計算を遂行できる</t>
  </si>
  <si>
    <t>二次方程式</t>
  </si>
  <si>
    <t>因数分解、平方完成、解の公式による二次方程式の解法</t>
  </si>
  <si>
    <t>解の公式を用いた解法と文章題の立式・検証</t>
  </si>
  <si>
    <t>各種手法を選択して二次方程式を正確に解ける</t>
  </si>
  <si>
    <t>関数 y=ax²</t>
  </si>
  <si>
    <t>y=ax² の特徴、変化の割合、制動距離などの具体的象徴</t>
  </si>
  <si>
    <t>グラフの描画と一次関数との交点問題の分析</t>
  </si>
  <si>
    <t>y=ax² の関数の特徴を捉え図形や現実事象に適用できる</t>
  </si>
  <si>
    <t>図形の相似と円の性質</t>
  </si>
  <si>
    <t>三角形の相似条件、縮尺、円周角の定理とその逆</t>
  </si>
  <si>
    <t>相似の証明、未知の線分の長さ算出、円周角の計算</t>
  </si>
  <si>
    <t>相似条件や円周角の定理を用いて図形の長さを求められる</t>
  </si>
  <si>
    <t>三平方の定理</t>
  </si>
  <si>
    <t>直角三角形における a²+b²=c² の証明と空間図形への応用</t>
  </si>
  <si>
    <t>立体内の線分の長さや体積の計算演習</t>
  </si>
  <si>
    <t>三平方の定理を活用して平面・空間の距離を算出できる</t>
  </si>
  <si>
    <t>標本調査と中学校のまとめ</t>
  </si>
  <si>
    <t>全数調査と標本調査の違い、無作為抽出、総合復習</t>
  </si>
  <si>
    <t>標本からの全体推計と3年間の総復習演習</t>
  </si>
  <si>
    <t>標本調査の考え方を理解し数学的概念を体系化できる</t>
  </si>
  <si>
    <t>身近な物理現象（光・音・力）</t>
  </si>
  <si>
    <t>光の反射・屈折・レンズ、音の振動、力の働き</t>
  </si>
  <si>
    <t>凹凸レンズの実験、オシロスコープでの音観察</t>
  </si>
  <si>
    <t>光や音、力の性質を実験結果に基づき定性的に理解できる</t>
  </si>
  <si>
    <t>身の回りの物質（状態変化・水溶液）</t>
  </si>
  <si>
    <t>有機物・無機物、気体の発生、状態変化、溶解度</t>
  </si>
  <si>
    <t>気体の捕集実験、状態変化の温度測定、再結晶</t>
  </si>
  <si>
    <t>物質の物理的・化学的特性と状態変化の原理を理解できる</t>
  </si>
  <si>
    <t>生物の多様性と生体のつくり</t>
  </si>
  <si>
    <t>花のつくり、無脊椎動物・脊椎動物の分類と構造</t>
  </si>
  <si>
    <t>顕微鏡を用いた植物細胞・プレパラートの観察</t>
  </si>
  <si>
    <t>生物の共通点と相違点を整理し分類体系を理解できる</t>
  </si>
  <si>
    <t>大地の変化（火山・地震・地層）</t>
  </si>
  <si>
    <t>火成岩、地震の波（P波・S波）、地層の堆積過程</t>
  </si>
  <si>
    <t>火山灰の観察、地震データの計算、地層モデル作成</t>
  </si>
  <si>
    <t>地学的な現象のメカニズムと地球の歴史を理解できる</t>
  </si>
  <si>
    <t>2027年1月-2027年3月</t>
  </si>
  <si>
    <t>科学技術と探究活動</t>
  </si>
  <si>
    <t>観察・実験の計画立案と課題解決型の探究</t>
  </si>
  <si>
    <t>探究レポートの作成とプレゼンテーションの実施</t>
  </si>
  <si>
    <t>科学的な探究プロセスを身につけ論理的に考察できる</t>
  </si>
  <si>
    <t>化学変化と原子・分子</t>
  </si>
  <si>
    <t>原子・分子、化学式、化合・分解・酸化・還元</t>
  </si>
  <si>
    <t>スチールウールの燃焼、水の電気分解実験</t>
  </si>
  <si>
    <t>化学反応を原子・分子のモデルや化学反応式で表現できる</t>
  </si>
  <si>
    <t>生物の体の生活と種類（細胞・器官）</t>
  </si>
  <si>
    <t>細胞呼吸、消化・吸収、血液循環、感覚器官</t>
  </si>
  <si>
    <t>唾液によるデンプンの消化実験、心臓の構造学習</t>
  </si>
  <si>
    <t>生命を維持する人体の複雑なシステムの連携を理解できる</t>
  </si>
  <si>
    <t>電気の世界（電流・電圧・磁場）</t>
  </si>
  <si>
    <t>オームの法則、回路（直列・並列）、電磁誘導</t>
  </si>
  <si>
    <t>回路の作成と電流・電圧の測定、右ネジの法則</t>
  </si>
  <si>
    <t>電流・電圧・抵抗の関係を数値的に分析・計算できる</t>
  </si>
  <si>
    <t>気象の観測と天気の変化</t>
  </si>
  <si>
    <t>気圧、前線（温暖・寒冷）、日本の気候と水蒸気量</t>
  </si>
  <si>
    <t>露点測定実験、天気図の作成と気象の読み取り</t>
  </si>
  <si>
    <t>気象要素の相互関係を解明し天気の変化を予想できる</t>
  </si>
  <si>
    <t>科学技術とエネルギーの変換</t>
  </si>
  <si>
    <t>電気エネルギーと熱エネルギーの変換実験</t>
  </si>
  <si>
    <t>各種エネルギーの相互変換プロセスの検証</t>
  </si>
  <si>
    <t>エネルギー保存の法則とエネルギーの変換効率を理解できる</t>
  </si>
  <si>
    <t>化学変化とイオン</t>
  </si>
  <si>
    <t>水溶液の電導性、電離、中和、電池の仕組み</t>
  </si>
  <si>
    <t>ダニエル電池の作成、中和滴定（BTB溶液）実験</t>
  </si>
  <si>
    <t>イオンの考え方を用いて化学変化や電池の仕組みを解明できる</t>
  </si>
  <si>
    <t>生命の連続性（発生・遺伝）</t>
  </si>
  <si>
    <t>細胞分裂（体細胞・減数分裂）、遺伝の法則（メンデル）</t>
  </si>
  <si>
    <t>タマネギの根の細胞分裂観察、遺伝モデル演習</t>
  </si>
  <si>
    <t>生命の連続性と遺伝のメカニズムを科学的に理解できる</t>
  </si>
  <si>
    <t>運動とエネルギー</t>
  </si>
  <si>
    <t>位置エネルギーと運動エネルギー、力学的エネルギー保存</t>
  </si>
  <si>
    <t>記録タイマーを用いた斜面上の小車の運動実験</t>
  </si>
  <si>
    <t>力の働きと運動状態の変化、エネルギー保存を数値化できる</t>
  </si>
  <si>
    <t>地球と宇宙（天体の運動・太陽系）</t>
  </si>
  <si>
    <t>日周運動・年周運動、太陽・月・惑星の動き</t>
  </si>
  <si>
    <t>天球モデルの構築、天体望遠鏡での太陽黒点観察</t>
  </si>
  <si>
    <t>地球の自転・公転と天体の見かけの運動を関連づけ理解できる</t>
  </si>
  <si>
    <t>自然環境の保全と科学技術の利用</t>
  </si>
  <si>
    <t>生態系の保全、プラスチック問題、新エネルギー技術</t>
  </si>
  <si>
    <t>環境問題に関する調査研究と持続可能性の考察</t>
  </si>
  <si>
    <t>科学技術の利便性と環境への影響を多角的に評価できる</t>
  </si>
  <si>
    <t>音の重なりを感じ取ろう・アルトリコーダー</t>
  </si>
  <si>
    <t>変声期に配慮した歌唱指導、アルトリコーダー導入</t>
  </si>
  <si>
    <t>合唱（校歌・合唱曲）、アルトリコーダー基本演習</t>
  </si>
  <si>
    <t>声の響きを意識し旋律を正確に歌い・演奏できる</t>
  </si>
  <si>
    <t>合唱の美しさを追求しよう・古典音楽の鑑賞</t>
  </si>
  <si>
    <t>混声三部合唱のアンサンブルと世界の諸民族の音楽</t>
  </si>
  <si>
    <t>合唱コンクール曲の演習、西洋音楽史（バッハ等）</t>
  </si>
  <si>
    <t>パートの役割を理解し豊かな声量と表現力で合唱できる</t>
  </si>
  <si>
    <t>表現の集大成・伝統和楽器（箏・和太鼓）</t>
  </si>
  <si>
    <t>混声四部合唱の完成度向上と伝統的な和楽器の奏法</t>
  </si>
  <si>
    <t>卒業合唱の完成、箏の「さくらさくら」演奏・鑑賞</t>
  </si>
  <si>
    <t>楽曲の持つ情緒や構造を解釈し情意を込めて表現できる</t>
  </si>
  <si>
    <t>デッサン・色彩の基礎・デザイン</t>
  </si>
  <si>
    <t>明暗や遠近法（一点透視等）の理解と色彩環の学習</t>
  </si>
  <si>
    <t>静物デッサン、ポスターカラーでの色彩表現</t>
  </si>
  <si>
    <t>対象の形態を正確に捉え色彩効果を生かして表現できる</t>
  </si>
  <si>
    <t>木彫・自画像・美術作品の批評</t>
  </si>
  <si>
    <t>木材の特性を生かした立体制作や感情の表現</t>
  </si>
  <si>
    <t>木彫のスプーンや浮き彫り、自画像の制作</t>
  </si>
  <si>
    <t>素材の良さを引き出し自己の想いを造形的に深められる</t>
  </si>
  <si>
    <t>総合的な美術制作・鑑賞の探究</t>
  </si>
  <si>
    <t>社会的なメッセージを込めたデザインや卒業記念制作</t>
  </si>
  <si>
    <t>デザインポスター制作、日本・世界の美術鑑賞</t>
  </si>
  <si>
    <t>自らの美意識や主張を完成度の高い美術作品に昇華できる</t>
  </si>
  <si>
    <t>体つくり運動・陸上・水泳・球技・心身の発達</t>
  </si>
  <si>
    <t>基本動体と競技ルールの理解、心身の発達と変化</t>
  </si>
  <si>
    <t>短距離走、水泳、バスケットボール、心身の発達保健</t>
  </si>
  <si>
    <t>ルールを守り仲間と協力して安全に運動に参画できる</t>
  </si>
  <si>
    <t>器械運動・武道（柔道/剣道）・傷害の防止</t>
  </si>
  <si>
    <t>技のポイント習得、武道での礼法、応急手当・安全</t>
  </si>
  <si>
    <t>跳び箱・マット運動、武道（いわき市採択種目）、保健</t>
  </si>
  <si>
    <t>自己の課題に応じた技の練習方法を工夫し実行できる</t>
  </si>
  <si>
    <t>生涯スポーツの実践・健康と環境・感染症</t>
  </si>
  <si>
    <t>スポーツの選択的実践、健康管理と感染症予防</t>
  </si>
  <si>
    <t>各種球技のリーグ戦、表現運動、健康と環境保健</t>
  </si>
  <si>
    <t>自ら運動を計画し生涯にわたり親しむ態度を養える</t>
  </si>
  <si>
    <t>技術・家庭</t>
  </si>
  <si>
    <t>材料と加工の技術 / 食生活と調理の基礎</t>
  </si>
  <si>
    <t>木材・金属加工の手順、栄養素の機能と基礎調理</t>
  </si>
  <si>
    <t>本棚等の作製、包丁の扱い・魚・肉の調理実習</t>
  </si>
  <si>
    <t>工具や機器を安全に操作し完成度の高い作品や料理を作れる</t>
  </si>
  <si>
    <t>エネルギー変換の技術 / 衣服と生活の工夫</t>
  </si>
  <si>
    <t>電気回路・モータ制御の技術、被服の作製と手入れ</t>
  </si>
  <si>
    <t>ラジオやLEDライトの製作、まつり縫い・布作品</t>
  </si>
  <si>
    <t>エネルギーの変換効率や被服の機能を理解し工夫できる</t>
  </si>
  <si>
    <t>情報の技術（プログラミング）/ 家族と消費</t>
  </si>
  <si>
    <t>計測・制御のプログラミング、消費者の権利と責任</t>
  </si>
  <si>
    <t>ロボットのプログラム作成、消費生活のシミュレーション</t>
  </si>
  <si>
    <t>論理的なプログラムを作成し自立した消費者意識を持てる</t>
  </si>
  <si>
    <t>英語</t>
  </si>
  <si>
    <t>Unit 1-2: Alphabet, Self-introduction</t>
  </si>
  <si>
    <t>アルファベットの読み書き、be動詞と一般動詞（I, you）</t>
  </si>
  <si>
    <t>自己紹介カードの作成、基本的な挨拶演習</t>
  </si>
  <si>
    <t>正しい発音と綴りで自己紹介のやり取りができる</t>
  </si>
  <si>
    <t>Unit 3-4: He/She, Plural nouns, Can</t>
  </si>
  <si>
    <t>三人称単数（he, she）、名詞の複数形、助動詞can</t>
  </si>
  <si>
    <t>友達や家族の紹介スピーチ、canを用いた特技の紹介</t>
  </si>
  <si>
    <t>身近な人物やできることについて英文で伝え合える</t>
  </si>
  <si>
    <t>Unit 5-6: Present Progressive, How many</t>
  </si>
  <si>
    <t>現在進行形（be -ing）、疑問詞（What, Where等）</t>
  </si>
  <si>
    <t>動作を尋ね合ったり数を尋ねたりする対話活動</t>
  </si>
  <si>
    <t>進行中の動作や疑問詞を用いた質疑応答がスムーズにできる</t>
  </si>
  <si>
    <t>Unit 7-8: Past Tense (was, were, -ed)</t>
  </si>
  <si>
    <t>過去形（be動詞の過去形、一般動詞の規則・不規則変化）</t>
  </si>
  <si>
    <t>週末の出来事を伝えるスピーチ、日記文の執筆</t>
  </si>
  <si>
    <t>過去の出来事について時間軸を意識して正しく書ける</t>
  </si>
  <si>
    <t>Unit 9-10: Look forward to, Show me...</t>
  </si>
  <si>
    <t>SVOO文型、命令文、未来を表す表現（be going to）</t>
  </si>
  <si>
    <t>旅行の計画や道案内に関するロールプレイング</t>
  </si>
  <si>
    <t>目的や意図に応じた文構造を用いて英語で伝え合える</t>
  </si>
  <si>
    <t>Project: My Dream and Memories</t>
  </si>
  <si>
    <t>1年間の学習成果をまとめた思い出スピーチ</t>
  </si>
  <si>
    <t>ポスターを用いたプレゼンテーションの実施</t>
  </si>
  <si>
    <t>既習の表現を組み合わせて自分の考えを発表できる</t>
  </si>
  <si>
    <t>Unit 1: Future Tense (will / be going to)</t>
  </si>
  <si>
    <t>未来を表すwillとbe going toの使い分けと使い分け</t>
  </si>
  <si>
    <t>夏休みや週末の予定についてのスピーチ作成</t>
  </si>
  <si>
    <t>未来の予定や意思について的確に表現できる</t>
  </si>
  <si>
    <t>Unit 2-3: Auxiliary Verbs, Infinitive</t>
  </si>
  <si>
    <t>助動詞（must, should）、不定詞（名詞・副詞・形容詞的用法）</t>
  </si>
  <si>
    <t>ルールやアドバイスの表現、目的を伝えるスピーチ</t>
  </si>
  <si>
    <t>不定詞を活用して複雑な理由や目的を伝えられる</t>
  </si>
  <si>
    <t>Unit 4-5: Gerund, Comparison</t>
  </si>
  <si>
    <t>動名詞（-ing）、比較級・最上級（-er, -est, more, most）</t>
  </si>
  <si>
    <t>好きな活動についての作文、地域の比較プレゼン</t>
  </si>
  <si>
    <t>動名詞や比較を用いて二つの対象を正確に比較表現できる</t>
  </si>
  <si>
    <t>Unit 6: Passive Voice</t>
  </si>
  <si>
    <t>受動態（be + 過去分詞）の構造と意味の理解</t>
  </si>
  <si>
    <t>日本の伝統文化や製品を紹介する英文の作成</t>
  </si>
  <si>
    <t>能動態と受動態の違いを正しく捉え記述できる</t>
  </si>
  <si>
    <t>Unit 7: Conjunctions (when, if, because)</t>
  </si>
  <si>
    <t>接続詞（when, if, because, that）を用いた複文の構成</t>
  </si>
  <si>
    <t>「もし〜ならば」という条件や因果関係の英語スピーチ</t>
  </si>
  <si>
    <t>接続詞を用いて論理的でまとまりのある文章が書ける</t>
  </si>
  <si>
    <t>Project: Cultural Exchange</t>
  </si>
  <si>
    <t>異文化理解に関するプレゼンテーション</t>
  </si>
  <si>
    <t>調べた海外の文化についての発表活動</t>
  </si>
  <si>
    <t>接続詞や比較を活用し分かりやすい発表ができる</t>
  </si>
  <si>
    <t>Unit 1-2: Present Perfect Tense</t>
  </si>
  <si>
    <t>現在完了形（継続・経験・完了）の構造と用法</t>
  </si>
  <si>
    <t>自分の経験や継続している趣味についてのスピーチ</t>
  </si>
  <si>
    <t>現在完了形を正しく使い分け過去と現在の繋がりを言える</t>
  </si>
  <si>
    <t>Unit 3: Present Perfect Continuous</t>
  </si>
  <si>
    <t>現在完了進行形（have been -ing）とSVOC文型</t>
  </si>
  <si>
    <t>継続している動作の表現や補語を伴う構文の練習</t>
  </si>
  <si>
    <t>時間の経過に伴う動作や状況を正確に表現できる</t>
  </si>
  <si>
    <t>Unit 4-5: Participles, Relative Pronouns</t>
  </si>
  <si>
    <t>分詞の形容詞的修飾、関係代名詞（who, which, that）</t>
  </si>
  <si>
    <t>人や物を詳しく説明する長文スピーチの作成</t>
  </si>
  <si>
    <t>関係代名詞を用いて複雑な名詞句を正確に構成できる</t>
  </si>
  <si>
    <t>Unit 6: Indirect Questions, It is... to</t>
  </si>
  <si>
    <t>間接疑問文（I know what...）、形式主語構文</t>
  </si>
  <si>
    <t>自分の見解や疑問を丁寧に尋ねる文章の作成</t>
  </si>
  <si>
    <t>間接疑問文を使い丁寧で説得力のある英文を作れる</t>
  </si>
  <si>
    <t>Unit 7: Universal Design and SDGs</t>
  </si>
  <si>
    <t>SDGsやユニバーサルデザインについての英文読解と議論</t>
  </si>
  <si>
    <t>テーマに沿ったエッセイ執筆とディベート</t>
  </si>
  <si>
    <t>社会課題に対する自らの意見を論理的に書ける</t>
  </si>
  <si>
    <t>Project: Graduation Speech</t>
  </si>
  <si>
    <t>中学校生活の振り返りと未来への決意表明スピーチ</t>
  </si>
  <si>
    <t>原稿の推敲と英語によるスピーチコンテストの実施</t>
  </si>
  <si>
    <t>中学校での英語の集大成として想いを表現できる</t>
  </si>
  <si>
    <t>自主・自律 / 命の尊さ / 伝統と文化の尊重</t>
  </si>
  <si>
    <t>中学校生活への順応と自分自身の生き方の模索</t>
  </si>
  <si>
    <t>事例教材での討論、ワークシート記述</t>
  </si>
  <si>
    <t>道徳的課題に対して深く考え自己の行動を省みることができる</t>
  </si>
  <si>
    <t>社会連帯・思いやり / 公平・公正 / 自由と責任</t>
  </si>
  <si>
    <t>集団における自分の役割と人間関係の葛藤の克服</t>
  </si>
  <si>
    <t>多様な価値観の議論、ロールプレイング</t>
  </si>
  <si>
    <t>自他の立場を多角的に理解し集団に貢献しようとする</t>
  </si>
  <si>
    <t>人権の尊重 / 国際平和 / 自己の実現と未来</t>
  </si>
  <si>
    <t>生き方や社会の発展への関与、人間としての尊厳</t>
  </si>
  <si>
    <t>社会問題に関する対話活動、振り返り</t>
  </si>
  <si>
    <t>高い倫理観を持ち自立した主体として生きる意欲を高められる</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</si>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</sst>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quot;時間&quot;"/>
  </numFmts>
  <fonts count="27">
    <font>
      <sz val="11"/>
      <color theme="1"/>
      <name val="Yu Gothic"/>
      <family val="2"/>
      <scheme val="minor"/>
    </font>
    <font>
      <sz val="10"/>
      <color theme="1"/>
      <name val="ＭＳ ゴシック"/>
      <family val="2"/>
      <charset val="128"/>
    </font>
    <font>
      <sz val="6"/>
      <name val="Yu Gothic"/>
      <family val="3"/>
      <charset val="128"/>
      <scheme val="minor"/>
    </font>
    <font>
      <u/>
      <sz val="11"/>
      <color theme="10"/>
      <name val="Yu Gothic"/>
      <family val="2"/>
      <scheme val="minor"/>
    </font>
    <font>
      <sz val="11"/>
      <color theme="1"/>
      <name val="ＭＳ ゴシック"/>
      <family val="3"/>
      <charset val="128"/>
    </font>
    <font>
      <b/>
      <sz val="11"/>
      <color theme="1"/>
      <name val="ＭＳ ゴシック"/>
      <family val="3"/>
      <charset val="128"/>
    </font>
    <font>
      <sz val="11"/>
      <color theme="1"/>
      <name val="ＭＳ Ｐ明朝"/>
      <family val="1"/>
      <charset val="128"/>
    </font>
    <font>
      <b/>
      <sz val="13.5"/>
      <color theme="1"/>
      <name val="ＭＳ ゴシック"/>
      <family val="3"/>
      <charset val="128"/>
    </font>
    <font>
      <b/>
      <sz val="11"/>
      <color rgb="FF1F1F1F"/>
      <name val="ＭＳ ゴシック"/>
      <family val="3"/>
      <charset val="128"/>
    </font>
    <font>
      <sz val="11"/>
      <color rgb="FF1F1F1F"/>
      <name val="ＭＳ ゴシック"/>
      <family val="3"/>
      <charset val="128"/>
    </font>
    <font>
      <u/>
      <sz val="9"/>
      <color theme="10"/>
      <name val="Meiryo UI"/>
      <family val="3"/>
      <charset val="128"/>
    </font>
    <font>
      <sz val="11"/>
      <color theme="1"/>
      <name val="ＭＳ Ｐゴシック"/>
      <family val="3"/>
      <charset val="128"/>
    </font>
    <font>
      <sz val="10"/>
      <color theme="1"/>
      <name val="ＭＳ Ｐゴシック"/>
      <family val="3"/>
      <charset val="128"/>
    </font>
    <font>
      <i/>
      <sz val="10"/>
      <color theme="1"/>
      <name val="ＭＳ ゴシック"/>
      <family val="3"/>
      <charset val="128"/>
    </font>
    <font>
      <sz val="10"/>
      <color theme="1"/>
      <name val="ＭＳ ゴシック"/>
      <family val="3"/>
      <charset val="128"/>
    </font>
    <font>
      <i/>
      <sz val="10"/>
      <color rgb="FF0000FF"/>
      <name val="Meiryo UI"/>
      <family val="3"/>
      <charset val="128"/>
    </font>
    <font>
      <i/>
      <sz val="10"/>
      <color rgb="FFFF0000"/>
      <name val="Meiryo UI"/>
      <family val="3"/>
      <charset val="128"/>
    </font>
    <font>
      <sz val="10"/>
      <color theme="1"/>
      <name val="Yu Gothic"/>
      <family val="2"/>
      <scheme val="minor"/>
    </font>
    <font>
      <u/>
      <sz val="10"/>
      <color theme="10"/>
      <name val="ＭＳ ゴシック"/>
      <family val="3"/>
      <charset val="128"/>
    </font>
    <font>
      <b/>
      <sz val="9"/>
      <color theme="1"/>
      <name val="ＭＳ Ｐゴシック"/>
      <family val="3"/>
      <charset val="128"/>
    </font>
    <font>
      <sz val="9"/>
      <color rgb="FF1F1F1F"/>
      <name val="ＭＳ Ｐゴシック"/>
      <family val="3"/>
      <charset val="128"/>
    </font>
    <font>
      <sz val="9"/>
      <color theme="1"/>
      <name val="ＭＳ Ｐゴシック"/>
      <family val="3"/>
      <charset val="128"/>
    </font>
    <font>
      <sz val="9"/>
      <name val="ＭＳ Ｐゴシック"/>
      <family val="3"/>
      <charset val="128"/>
    </font>
    <font>
      <b/>
      <sz val="9"/>
      <color rgb="FF1F1F1F"/>
      <name val="ＭＳ Ｐゴシック"/>
      <family val="3"/>
      <charset val="128"/>
    </font>
    <font>
      <b/>
      <sz val="10"/>
      <color theme="1"/>
      <name val="ＭＳ ゴシック"/>
      <family val="3"/>
      <charset val="128"/>
    </font>
    <font>
      <sz val="10"/>
      <name val="ＭＳ ゴシック"/>
      <family val="3"/>
      <charset val="128"/>
    </font>
    <font>
      <sz val="10"/>
      <name val="Yu Gothic"/>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applyNumberFormat="0" applyFill="0" applyBorder="0" applyAlignment="0" applyProtection="0"/>
    <xf numFmtId="0" fontId="1" fillId="0" borderId="0">
      <alignment vertical="center"/>
    </xf>
  </cellStyleXfs>
  <cellXfs count="57">
    <xf numFmtId="0" fontId="0" fillId="0" borderId="0" xfId="0"/>
    <xf numFmtId="0" fontId="4"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4" fillId="0" borderId="0" xfId="0" applyFont="1"/>
    <xf numFmtId="0" fontId="5" fillId="0" borderId="0" xfId="0" applyFont="1" applyAlignment="1">
      <alignment horizontal="left" vertical="center"/>
    </xf>
    <xf numFmtId="0" fontId="5" fillId="0" borderId="0" xfId="0" applyFont="1" applyAlignment="1">
      <alignment vertical="center"/>
    </xf>
    <xf numFmtId="0" fontId="10" fillId="0" borderId="0" xfId="1" applyFont="1" applyAlignment="1">
      <alignment vertical="center"/>
    </xf>
    <xf numFmtId="0" fontId="4" fillId="0" borderId="0" xfId="0" applyFont="1" applyAlignment="1">
      <alignment horizontal="right" vertical="center"/>
    </xf>
    <xf numFmtId="0" fontId="11" fillId="0" borderId="0" xfId="0" applyFont="1" applyAlignment="1">
      <alignment vertical="center"/>
    </xf>
    <xf numFmtId="0" fontId="12" fillId="0" borderId="0" xfId="0" applyFont="1" applyAlignment="1">
      <alignment vertical="center"/>
    </xf>
    <xf numFmtId="0" fontId="14" fillId="0" borderId="0" xfId="0" applyFont="1" applyAlignment="1">
      <alignment horizontal="centerContinuous" vertical="center"/>
    </xf>
    <xf numFmtId="0" fontId="15" fillId="0" borderId="0" xfId="0" applyFont="1" applyAlignment="1">
      <alignment horizontal="center" vertical="center"/>
    </xf>
    <xf numFmtId="0" fontId="13" fillId="0" borderId="0" xfId="0" applyFont="1" applyAlignment="1">
      <alignment horizontal="left" vertical="center" shrinkToFit="1"/>
    </xf>
    <xf numFmtId="0" fontId="14" fillId="0" borderId="0" xfId="0" applyFont="1" applyAlignment="1">
      <alignment horizontal="centerContinuous" vertical="center" shrinkToFit="1"/>
    </xf>
    <xf numFmtId="0" fontId="14" fillId="0" borderId="0" xfId="0" applyFont="1" applyAlignment="1">
      <alignment horizontal="left" vertical="center" shrinkToFit="1"/>
    </xf>
    <xf numFmtId="0" fontId="13" fillId="0" borderId="0" xfId="0" applyFont="1" applyAlignment="1">
      <alignment vertical="center"/>
    </xf>
    <xf numFmtId="0" fontId="17" fillId="0" borderId="0" xfId="0" applyFont="1" applyAlignment="1">
      <alignment horizontal="left" vertical="center" shrinkToFit="1"/>
    </xf>
    <xf numFmtId="0" fontId="18" fillId="0" borderId="0" xfId="1" applyFont="1" applyAlignment="1">
      <alignment horizontal="left" vertical="center" shrinkToFit="1"/>
    </xf>
    <xf numFmtId="0" fontId="8" fillId="2" borderId="1" xfId="0" applyFont="1" applyFill="1" applyBorder="1" applyAlignment="1">
      <alignment horizontal="left" vertical="center" shrinkToFit="1" readingOrder="1"/>
    </xf>
    <xf numFmtId="0" fontId="9" fillId="0" borderId="1" xfId="0" applyFont="1" applyBorder="1" applyAlignment="1">
      <alignment horizontal="left" vertical="center" shrinkToFit="1" readingOrder="1"/>
    </xf>
    <xf numFmtId="0" fontId="5" fillId="2" borderId="1" xfId="0" applyFont="1" applyFill="1" applyBorder="1" applyAlignment="1">
      <alignment horizontal="left" vertical="center" shrinkToFit="1"/>
    </xf>
    <xf numFmtId="0" fontId="4" fillId="0" borderId="1" xfId="0" applyFont="1" applyBorder="1" applyAlignment="1">
      <alignment horizontal="left" vertical="center" shrinkToFit="1"/>
    </xf>
    <xf numFmtId="0" fontId="8" fillId="0" borderId="1" xfId="0" applyFont="1" applyBorder="1" applyAlignment="1">
      <alignment horizontal="left" vertical="center" shrinkToFit="1" readingOrder="1"/>
    </xf>
    <xf numFmtId="0" fontId="5" fillId="0" borderId="1" xfId="0" applyFont="1" applyBorder="1" applyAlignment="1">
      <alignment horizontal="left" vertical="center" shrinkToFit="1"/>
    </xf>
    <xf numFmtId="0" fontId="8" fillId="2" borderId="1" xfId="0" applyFont="1" applyFill="1" applyBorder="1" applyAlignment="1">
      <alignment horizontal="center" vertical="center" shrinkToFit="1" readingOrder="1"/>
    </xf>
    <xf numFmtId="0" fontId="8" fillId="0" borderId="1" xfId="0" applyFont="1" applyBorder="1" applyAlignment="1">
      <alignment horizontal="center" vertical="center" shrinkToFit="1" readingOrder="1"/>
    </xf>
    <xf numFmtId="0" fontId="5" fillId="2" borderId="1" xfId="0" applyFont="1" applyFill="1" applyBorder="1" applyAlignment="1">
      <alignment horizontal="center" vertical="center" shrinkToFit="1"/>
    </xf>
    <xf numFmtId="0" fontId="5" fillId="0" borderId="1" xfId="0" applyFont="1" applyBorder="1" applyAlignment="1">
      <alignment horizontal="center" vertical="center" shrinkToFit="1"/>
    </xf>
    <xf numFmtId="0" fontId="19" fillId="2" borderId="1" xfId="0" applyFont="1" applyFill="1" applyBorder="1" applyAlignment="1">
      <alignment vertical="center" wrapText="1"/>
    </xf>
    <xf numFmtId="0" fontId="20" fillId="0" borderId="1" xfId="0" applyFont="1" applyBorder="1" applyAlignment="1">
      <alignment vertical="center" wrapText="1" readingOrder="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2" borderId="1" xfId="0" applyFont="1" applyFill="1" applyBorder="1" applyAlignment="1">
      <alignment vertical="center" wrapText="1" readingOrder="1"/>
    </xf>
    <xf numFmtId="0" fontId="24" fillId="0" borderId="0" xfId="0" applyFont="1" applyAlignment="1">
      <alignment horizontal="centerContinuous" vertical="center" shrinkToFit="1"/>
    </xf>
    <xf numFmtId="0" fontId="25" fillId="0" borderId="0" xfId="0" applyFont="1" applyAlignment="1">
      <alignment horizontal="left" vertical="center" shrinkToFit="1"/>
    </xf>
    <xf numFmtId="0" fontId="26" fillId="0" borderId="0" xfId="0" applyFont="1" applyAlignment="1">
      <alignment horizontal="left" vertical="center" shrinkToFit="1"/>
    </xf>
    <xf numFmtId="0" fontId="13" fillId="0" borderId="0" xfId="0" applyFont="1" applyAlignment="1">
      <alignment horizontal="center" vertical="center" shrinkToFit="1"/>
    </xf>
    <xf numFmtId="0" fontId="15" fillId="0" borderId="0" xfId="0" applyFont="1" applyAlignment="1">
      <alignment horizontal="center" vertical="center" shrinkToFit="1"/>
    </xf>
    <xf numFmtId="0" fontId="16" fillId="0" borderId="0" xfId="0" applyFont="1" applyAlignment="1">
      <alignment horizontal="center" vertical="center" shrinkToFit="1"/>
    </xf>
    <xf numFmtId="0" fontId="24" fillId="0" borderId="0" xfId="0" applyFont="1" applyAlignment="1">
      <alignment horizontal="centerContinuous" vertical="center" wrapText="1" shrinkToFit="1"/>
    </xf>
    <xf numFmtId="0" fontId="1" fillId="0" borderId="0" xfId="2">
      <alignment vertical="center"/>
    </xf>
    <xf numFmtId="49" fontId="1" fillId="2" borderId="0" xfId="2" applyNumberFormat="1" applyFill="1" applyAlignment="1">
      <alignment horizontal="center" vertical="center"/>
    </xf>
    <xf numFmtId="49" fontId="1" fillId="0" borderId="0" xfId="2" applyNumberFormat="1" applyAlignment="1">
      <alignment horizontal="center" vertical="center"/>
    </xf>
    <xf numFmtId="0" fontId="1" fillId="0" borderId="0" xfId="2" applyAlignment="1">
      <alignment horizontal="center" vertical="center"/>
    </xf>
    <xf numFmtId="49" fontId="1" fillId="2" borderId="0" xfId="2" applyNumberFormat="1" applyFill="1" applyAlignment="1">
      <alignment vertical="center" shrinkToFit="1"/>
    </xf>
    <xf numFmtId="49" fontId="1" fillId="0" borderId="0" xfId="2" applyNumberFormat="1" applyAlignment="1">
      <alignment vertical="center" shrinkToFit="1"/>
    </xf>
    <xf numFmtId="0" fontId="1" fillId="0" borderId="0" xfId="2" applyAlignment="1">
      <alignment vertical="center" shrinkToFit="1"/>
    </xf>
    <xf numFmtId="176" fontId="1" fillId="2" borderId="0" xfId="2" applyNumberFormat="1" applyFill="1" applyAlignment="1">
      <alignment horizontal="right" vertical="center" shrinkToFit="1"/>
    </xf>
    <xf numFmtId="176" fontId="1" fillId="0" borderId="0" xfId="2" applyNumberFormat="1" applyAlignment="1">
      <alignment horizontal="right" vertical="center" shrinkToFit="1"/>
    </xf>
    <xf numFmtId="49" fontId="1" fillId="2" borderId="0" xfId="2" applyNumberFormat="1" applyFill="1" applyAlignment="1">
      <alignment horizontal="left" vertical="center" wrapText="1"/>
    </xf>
    <xf numFmtId="49" fontId="1" fillId="0" borderId="0" xfId="2" applyNumberFormat="1" applyAlignment="1">
      <alignment horizontal="left" vertical="center" wrapText="1"/>
    </xf>
    <xf numFmtId="0" fontId="1" fillId="0" borderId="0" xfId="2" applyAlignment="1">
      <alignment horizontal="left" vertical="center" wrapText="1"/>
    </xf>
    <xf numFmtId="49" fontId="1" fillId="2" borderId="0" xfId="2" applyNumberFormat="1" applyFill="1" applyAlignment="1">
      <alignment horizontal="center" vertical="center" shrinkToFit="1"/>
    </xf>
    <xf numFmtId="49" fontId="1" fillId="0" borderId="0" xfId="2" applyNumberFormat="1" applyAlignment="1">
      <alignment horizontal="center" vertical="center" shrinkToFit="1"/>
    </xf>
    <xf numFmtId="0" fontId="1" fillId="0" borderId="0" xfId="2" applyAlignment="1">
      <alignment horizontal="center" vertical="center" shrinkToFit="1"/>
    </xf>
  </cellXfs>
  <cellStyles count="3">
    <cellStyle name="ハイパーリンク" xfId="1" builtinId="8"/>
    <cellStyle name="標準" xfId="0" builtinId="0"/>
    <cellStyle name="標準 2" xfId="2" xr:uid="{49F32310-A616-4BBC-BDC4-D5CCEA780CAD}"/>
  </cellStyles>
  <dxfs count="0"/>
  <tableStyles count="0" defaultTableStyle="TableStyleMedium2"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accom.jp/search/p7/c204_public_es/textboo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accom.jp/search/p7/c204_public_js/textboo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20"/>
  <sheetViews>
    <sheetView zoomScale="130" zoomScaleNormal="130" workbookViewId="0">
      <selection activeCell="A21" sqref="A21:XFD21"/>
    </sheetView>
  </sheetViews>
  <sheetFormatPr defaultRowHeight="13.3" outlineLevelCol="1"/>
  <cols>
    <col min="1" max="2" width="11.640625" style="1" customWidth="1"/>
    <col min="3" max="3" width="10.640625" style="1" customWidth="1"/>
    <col min="4" max="4" width="28.140625" style="11" customWidth="1"/>
    <col min="5" max="5" width="5.640625" style="38" customWidth="1"/>
    <col min="6" max="6" width="20.640625" style="16" hidden="1" customWidth="1" outlineLevel="1"/>
    <col min="7" max="7" width="7.640625" style="38" customWidth="1" collapsed="1"/>
    <col min="8" max="8" width="20.640625" style="16" hidden="1" customWidth="1" outlineLevel="1"/>
    <col min="9" max="9" width="5.640625" style="14" customWidth="1" collapsed="1"/>
    <col min="10" max="10" width="17.85546875" style="16" hidden="1" customWidth="1" outlineLevel="1"/>
    <col min="11" max="11" width="5.640625" style="14" customWidth="1" collapsed="1"/>
    <col min="12" max="12" width="17.85546875" style="16" hidden="1" customWidth="1" outlineLevel="1"/>
    <col min="13" max="13" width="5.640625" style="14" customWidth="1" collapsed="1"/>
    <col min="14" max="14" width="17.85546875" style="16" hidden="1" customWidth="1" outlineLevel="1"/>
    <col min="15" max="15" width="5.140625" style="17" hidden="1" customWidth="1" outlineLevel="1"/>
    <col min="16" max="16" width="5.640625" style="16" hidden="1" customWidth="1" outlineLevel="1"/>
    <col min="17" max="17" width="9.140625" style="1" collapsed="1"/>
    <col min="18" max="22" width="9.140625" style="1"/>
    <col min="23" max="16384" width="9.140625" style="5"/>
  </cols>
  <sheetData>
    <row r="1" spans="1:16" ht="16.3">
      <c r="A1" s="4" t="s">
        <v>25</v>
      </c>
    </row>
    <row r="2" spans="1:16">
      <c r="A2" s="3" t="s">
        <v>39</v>
      </c>
    </row>
    <row r="3" spans="1:16">
      <c r="A3" s="9" t="s">
        <v>52</v>
      </c>
      <c r="B3" s="8" t="s">
        <v>50</v>
      </c>
    </row>
    <row r="4" spans="1:16" ht="34.75">
      <c r="A4" s="20" t="s">
        <v>0</v>
      </c>
      <c r="B4" s="26" t="s">
        <v>1</v>
      </c>
      <c r="C4" s="20" t="s">
        <v>168</v>
      </c>
      <c r="D4" s="34" t="s">
        <v>2</v>
      </c>
      <c r="E4" s="35" t="s">
        <v>73</v>
      </c>
      <c r="F4" s="15"/>
      <c r="G4" s="41" t="s">
        <v>166</v>
      </c>
      <c r="H4" s="15"/>
      <c r="I4" s="35" t="s">
        <v>134</v>
      </c>
      <c r="J4" s="15"/>
      <c r="K4" s="35" t="s">
        <v>135</v>
      </c>
      <c r="L4" s="15"/>
      <c r="M4" s="35" t="s">
        <v>136</v>
      </c>
      <c r="N4" s="15"/>
      <c r="O4" s="12" t="s">
        <v>41</v>
      </c>
      <c r="P4" s="15"/>
    </row>
    <row r="5" spans="1:16" ht="15.9">
      <c r="A5" s="24" t="s">
        <v>3</v>
      </c>
      <c r="B5" s="27" t="s">
        <v>4</v>
      </c>
      <c r="C5" s="21" t="s">
        <v>5</v>
      </c>
      <c r="D5" s="31"/>
      <c r="E5" s="39" t="str">
        <f>IF(F5="","",HYPERLINK(F5,"URL"))</f>
        <v>URL</v>
      </c>
      <c r="F5" s="18" t="s">
        <v>85</v>
      </c>
      <c r="G5" s="39" t="str">
        <f>IF(H5="","",HYPERLINK(H5,"URL"))</f>
        <v>URL</v>
      </c>
      <c r="H5" s="18" t="s">
        <v>40</v>
      </c>
      <c r="I5" s="39" t="str">
        <f t="shared" ref="I5:I17" si="0">IF(J5="","",HYPERLINK(J5,"URL1"))</f>
        <v>URL1</v>
      </c>
      <c r="J5" s="18" t="s">
        <v>49</v>
      </c>
      <c r="K5" s="39" t="str">
        <f t="shared" ref="K5:K17" si="1">IF(L5="","",HYPERLINK(L5,"URL2"))</f>
        <v/>
      </c>
      <c r="L5" s="18"/>
      <c r="M5" s="39" t="str">
        <f t="shared" ref="M5:M17" si="2">IF(N5="","",HYPERLINK(N5,"URL3"))</f>
        <v/>
      </c>
      <c r="N5" s="18"/>
      <c r="O5" s="13" t="str">
        <f t="shared" ref="O5" si="3">IF(P5="","",HYPERLINK(P5,"URL"))</f>
        <v/>
      </c>
      <c r="P5" s="19"/>
    </row>
    <row r="6" spans="1:16" ht="21.45">
      <c r="A6" s="24" t="s">
        <v>45</v>
      </c>
      <c r="B6" s="27" t="s">
        <v>8</v>
      </c>
      <c r="C6" s="21" t="s">
        <v>5</v>
      </c>
      <c r="D6" s="31" t="s">
        <v>44</v>
      </c>
      <c r="E6" s="39" t="str">
        <f>IF(F6="","",HYPERLINK(F6,"URL"))</f>
        <v>URL</v>
      </c>
      <c r="F6" s="18" t="s">
        <v>76</v>
      </c>
      <c r="G6" s="39" t="str">
        <f>IF(H6="","",HYPERLINK(H6,"URL"))</f>
        <v>URL</v>
      </c>
      <c r="H6" s="18" t="s">
        <v>62</v>
      </c>
      <c r="I6" s="39" t="str">
        <f t="shared" si="0"/>
        <v>URL1</v>
      </c>
      <c r="J6" s="18" t="s">
        <v>48</v>
      </c>
      <c r="K6" s="39" t="str">
        <f t="shared" si="1"/>
        <v>URL2</v>
      </c>
      <c r="L6" s="18" t="s">
        <v>158</v>
      </c>
      <c r="M6" s="39" t="str">
        <f t="shared" si="2"/>
        <v>URL3</v>
      </c>
      <c r="N6" s="18" t="s">
        <v>157</v>
      </c>
      <c r="O6" s="13" t="str">
        <f t="shared" ref="O6" si="4">IF(P6="","",HYPERLINK(P6,"URL"))</f>
        <v/>
      </c>
      <c r="P6" s="19"/>
    </row>
    <row r="7" spans="1:16" ht="15.9">
      <c r="A7" s="24" t="s">
        <v>9</v>
      </c>
      <c r="B7" s="27" t="s">
        <v>8</v>
      </c>
      <c r="C7" s="21" t="s">
        <v>10</v>
      </c>
      <c r="D7" s="31"/>
      <c r="E7" s="39" t="str">
        <f t="shared" ref="E7:E17" si="5">IF(F7="","",HYPERLINK(F7,"URL"))</f>
        <v>URL</v>
      </c>
      <c r="F7" s="18" t="s">
        <v>77</v>
      </c>
      <c r="G7" s="39" t="str">
        <f t="shared" ref="G7:G8" si="6">IF(H7="","",HYPERLINK(H7,"URL"))</f>
        <v>URL</v>
      </c>
      <c r="H7" s="16" t="s">
        <v>54</v>
      </c>
      <c r="I7" s="39" t="str">
        <f t="shared" si="0"/>
        <v>URL1</v>
      </c>
      <c r="J7" s="16" t="s">
        <v>87</v>
      </c>
      <c r="K7" s="39" t="str">
        <f t="shared" si="1"/>
        <v/>
      </c>
      <c r="M7" s="39" t="str">
        <f t="shared" si="2"/>
        <v/>
      </c>
      <c r="O7" s="13" t="str">
        <f t="shared" ref="O7" si="7">IF(P7="","",HYPERLINK(P7,"URL"))</f>
        <v/>
      </c>
    </row>
    <row r="8" spans="1:16">
      <c r="A8" s="24" t="s">
        <v>63</v>
      </c>
      <c r="B8" s="27" t="s">
        <v>65</v>
      </c>
      <c r="C8" s="21" t="s">
        <v>66</v>
      </c>
      <c r="D8" s="31" t="s">
        <v>64</v>
      </c>
      <c r="E8" s="40" t="str">
        <f t="shared" ref="E8" si="8">IF(F8="","",HYPERLINK(F8,"URL"))</f>
        <v>URL</v>
      </c>
      <c r="F8" s="16" t="s">
        <v>94</v>
      </c>
      <c r="G8" s="39" t="str">
        <f t="shared" si="6"/>
        <v/>
      </c>
      <c r="I8" s="39" t="str">
        <f t="shared" si="0"/>
        <v/>
      </c>
      <c r="K8" s="39" t="str">
        <f t="shared" si="1"/>
        <v/>
      </c>
      <c r="M8" s="39" t="str">
        <f t="shared" si="2"/>
        <v/>
      </c>
      <c r="O8" s="13" t="str">
        <f t="shared" ref="O8" si="9">IF(P8="","",HYPERLINK(P8,"URL"))</f>
        <v/>
      </c>
    </row>
    <row r="9" spans="1:16" ht="15.9">
      <c r="A9" s="24" t="s">
        <v>7</v>
      </c>
      <c r="B9" s="27" t="s">
        <v>8</v>
      </c>
      <c r="C9" s="21" t="s">
        <v>5</v>
      </c>
      <c r="D9" s="31"/>
      <c r="E9" s="39" t="str">
        <f>IF(F9="","",HYPERLINK(F9,"URL"))</f>
        <v>URL</v>
      </c>
      <c r="F9" s="18" t="s">
        <v>78</v>
      </c>
      <c r="G9" s="39" t="str">
        <f>IF(H9="","",HYPERLINK(H9,"URL"))</f>
        <v>URL</v>
      </c>
      <c r="H9" s="16" t="s">
        <v>53</v>
      </c>
      <c r="I9" s="39" t="str">
        <f t="shared" si="0"/>
        <v>URL1</v>
      </c>
      <c r="J9" s="16" t="s">
        <v>86</v>
      </c>
      <c r="K9" s="39" t="str">
        <f t="shared" si="1"/>
        <v/>
      </c>
      <c r="M9" s="39" t="str">
        <f t="shared" si="2"/>
        <v/>
      </c>
      <c r="O9" s="13" t="str">
        <f t="shared" ref="O9" si="10">IF(P9="","",HYPERLINK(P9,"URL"))</f>
        <v/>
      </c>
    </row>
    <row r="10" spans="1:16" ht="15.9">
      <c r="A10" s="24" t="s">
        <v>11</v>
      </c>
      <c r="B10" s="27" t="s">
        <v>8</v>
      </c>
      <c r="C10" s="21" t="s">
        <v>10</v>
      </c>
      <c r="D10" s="31"/>
      <c r="E10" s="39" t="str">
        <f t="shared" si="5"/>
        <v>URL</v>
      </c>
      <c r="F10" s="18" t="s">
        <v>79</v>
      </c>
      <c r="G10" s="39" t="str">
        <f t="shared" ref="G10:G15" si="11">IF(H10="","",HYPERLINK(H10,"URL"))</f>
        <v>URL</v>
      </c>
      <c r="H10" s="16" t="s">
        <v>55</v>
      </c>
      <c r="I10" s="39" t="str">
        <f t="shared" si="0"/>
        <v>URL1</v>
      </c>
      <c r="J10" s="16" t="s">
        <v>88</v>
      </c>
      <c r="K10" s="39" t="str">
        <f t="shared" si="1"/>
        <v/>
      </c>
      <c r="M10" s="39" t="str">
        <f t="shared" si="2"/>
        <v/>
      </c>
      <c r="O10" s="13" t="str">
        <f t="shared" ref="O10" si="12">IF(P10="","",HYPERLINK(P10,"URL"))</f>
        <v/>
      </c>
    </row>
    <row r="11" spans="1:16">
      <c r="A11" s="24" t="s">
        <v>13</v>
      </c>
      <c r="B11" s="27" t="s">
        <v>8</v>
      </c>
      <c r="C11" s="21" t="s">
        <v>14</v>
      </c>
      <c r="D11" s="31" t="s">
        <v>15</v>
      </c>
      <c r="E11" s="39" t="str">
        <f t="shared" si="5"/>
        <v>URL</v>
      </c>
      <c r="F11" s="16" t="s">
        <v>80</v>
      </c>
      <c r="G11" s="39" t="str">
        <f t="shared" si="11"/>
        <v>URL</v>
      </c>
      <c r="H11" s="16" t="s">
        <v>57</v>
      </c>
      <c r="I11" s="39" t="str">
        <f t="shared" si="0"/>
        <v>URL1</v>
      </c>
      <c r="J11" s="16" t="s">
        <v>89</v>
      </c>
      <c r="K11" s="39" t="str">
        <f t="shared" si="1"/>
        <v/>
      </c>
      <c r="M11" s="39" t="str">
        <f t="shared" si="2"/>
        <v/>
      </c>
      <c r="O11" s="13" t="str">
        <f t="shared" ref="O11" si="13">IF(P11="","",HYPERLINK(P11,"URL"))</f>
        <v/>
      </c>
    </row>
    <row r="12" spans="1:16">
      <c r="A12" s="24" t="s">
        <v>16</v>
      </c>
      <c r="B12" s="27" t="s">
        <v>67</v>
      </c>
      <c r="C12" s="21" t="s">
        <v>5</v>
      </c>
      <c r="D12" s="31" t="s">
        <v>96</v>
      </c>
      <c r="E12" s="39" t="str">
        <f t="shared" si="5"/>
        <v>URL</v>
      </c>
      <c r="F12" s="16" t="s">
        <v>95</v>
      </c>
      <c r="G12" s="39" t="str">
        <f t="shared" si="11"/>
        <v>URL</v>
      </c>
      <c r="H12" s="16" t="s">
        <v>97</v>
      </c>
      <c r="I12" s="39" t="str">
        <f t="shared" si="0"/>
        <v>URL1</v>
      </c>
      <c r="J12" s="16" t="s">
        <v>98</v>
      </c>
      <c r="K12" s="39" t="str">
        <f t="shared" si="1"/>
        <v>URL2</v>
      </c>
      <c r="L12" s="16" t="s">
        <v>163</v>
      </c>
      <c r="M12" s="39" t="str">
        <f t="shared" si="2"/>
        <v/>
      </c>
      <c r="O12" s="13" t="str">
        <f t="shared" ref="O12" si="14">IF(P12="","",HYPERLINK(P12,"URL"))</f>
        <v/>
      </c>
    </row>
    <row r="13" spans="1:16">
      <c r="A13" s="24" t="s">
        <v>18</v>
      </c>
      <c r="B13" s="27" t="s">
        <v>19</v>
      </c>
      <c r="C13" s="21" t="s">
        <v>5</v>
      </c>
      <c r="D13" s="31" t="s">
        <v>127</v>
      </c>
      <c r="E13" s="39" t="str">
        <f t="shared" si="5"/>
        <v>URL</v>
      </c>
      <c r="F13" s="16" t="s">
        <v>99</v>
      </c>
      <c r="G13" s="39" t="str">
        <f t="shared" si="11"/>
        <v>URL</v>
      </c>
      <c r="H13" s="16" t="s">
        <v>164</v>
      </c>
      <c r="I13" s="39" t="str">
        <f t="shared" si="0"/>
        <v>URL1</v>
      </c>
      <c r="J13" s="16" t="s">
        <v>121</v>
      </c>
      <c r="K13" s="39" t="str">
        <f t="shared" si="1"/>
        <v>URL2</v>
      </c>
      <c r="L13" s="16" t="s">
        <v>165</v>
      </c>
      <c r="M13" s="39" t="str">
        <f t="shared" si="2"/>
        <v/>
      </c>
      <c r="O13" s="13" t="str">
        <f t="shared" ref="O13" si="15">IF(P13="","",HYPERLINK(P13,"URL"))</f>
        <v/>
      </c>
    </row>
    <row r="14" spans="1:16">
      <c r="A14" s="24" t="s">
        <v>20</v>
      </c>
      <c r="B14" s="27" t="s">
        <v>8</v>
      </c>
      <c r="C14" s="21" t="s">
        <v>21</v>
      </c>
      <c r="D14" s="31"/>
      <c r="E14" s="39" t="str">
        <f t="shared" si="5"/>
        <v>URL</v>
      </c>
      <c r="F14" s="16" t="s">
        <v>81</v>
      </c>
      <c r="G14" s="39" t="str">
        <f t="shared" si="11"/>
        <v>URL</v>
      </c>
      <c r="H14" s="16" t="s">
        <v>58</v>
      </c>
      <c r="I14" s="39" t="str">
        <f t="shared" si="0"/>
        <v>URL1</v>
      </c>
      <c r="J14" s="16" t="s">
        <v>90</v>
      </c>
      <c r="K14" s="39" t="str">
        <f t="shared" si="1"/>
        <v/>
      </c>
      <c r="M14" s="39" t="str">
        <f t="shared" si="2"/>
        <v/>
      </c>
      <c r="O14" s="13" t="str">
        <f t="shared" ref="O14" si="16">IF(P14="","",HYPERLINK(P14,"URL"))</f>
        <v/>
      </c>
    </row>
    <row r="15" spans="1:16">
      <c r="A15" s="24" t="s">
        <v>22</v>
      </c>
      <c r="B15" s="27" t="s">
        <v>8</v>
      </c>
      <c r="C15" s="21" t="s">
        <v>10</v>
      </c>
      <c r="D15" s="31" t="s">
        <v>23</v>
      </c>
      <c r="E15" s="39" t="str">
        <f t="shared" si="5"/>
        <v>URL</v>
      </c>
      <c r="F15" s="16" t="s">
        <v>82</v>
      </c>
      <c r="G15" s="39" t="str">
        <f t="shared" si="11"/>
        <v>URL</v>
      </c>
      <c r="H15" s="16" t="s">
        <v>59</v>
      </c>
      <c r="I15" s="39" t="str">
        <f t="shared" si="0"/>
        <v>URL1</v>
      </c>
      <c r="J15" s="16" t="s">
        <v>91</v>
      </c>
      <c r="K15" s="39" t="str">
        <f t="shared" si="1"/>
        <v/>
      </c>
      <c r="M15" s="39" t="str">
        <f t="shared" si="2"/>
        <v/>
      </c>
      <c r="O15" s="13" t="str">
        <f t="shared" ref="O15" si="17">IF(P15="","",HYPERLINK(P15,"URL"))</f>
        <v/>
      </c>
    </row>
    <row r="16" spans="1:16">
      <c r="A16" s="24" t="s">
        <v>61</v>
      </c>
      <c r="B16" s="27" t="s">
        <v>8</v>
      </c>
      <c r="C16" s="21" t="s">
        <v>10</v>
      </c>
      <c r="D16" s="31" t="s">
        <v>12</v>
      </c>
      <c r="E16" s="39" t="str">
        <f>IF(F16="","",HYPERLINK(F16,"URL"))</f>
        <v>URL</v>
      </c>
      <c r="F16" s="16" t="s">
        <v>83</v>
      </c>
      <c r="G16" s="39" t="str">
        <f>IF(H16="","",HYPERLINK(H16,"URL"))</f>
        <v>URL</v>
      </c>
      <c r="H16" s="16" t="s">
        <v>56</v>
      </c>
      <c r="I16" s="39" t="str">
        <f t="shared" si="0"/>
        <v>URL1</v>
      </c>
      <c r="J16" s="16" t="s">
        <v>92</v>
      </c>
      <c r="K16" s="39" t="str">
        <f t="shared" si="1"/>
        <v/>
      </c>
      <c r="M16" s="39" t="str">
        <f t="shared" si="2"/>
        <v/>
      </c>
      <c r="O16" s="13" t="str">
        <f t="shared" ref="O16" si="18">IF(P16="","",HYPERLINK(P16,"URL"))</f>
        <v/>
      </c>
    </row>
    <row r="17" spans="1:15">
      <c r="A17" s="24" t="s">
        <v>24</v>
      </c>
      <c r="B17" s="27" t="s">
        <v>8</v>
      </c>
      <c r="C17" s="21" t="s">
        <v>5</v>
      </c>
      <c r="D17" s="31"/>
      <c r="E17" s="39" t="str">
        <f t="shared" si="5"/>
        <v>URL</v>
      </c>
      <c r="F17" s="16" t="s">
        <v>84</v>
      </c>
      <c r="G17" s="39" t="str">
        <f t="shared" ref="G17" si="19">IF(H17="","",HYPERLINK(H17,"URL"))</f>
        <v>URL</v>
      </c>
      <c r="H17" s="16" t="s">
        <v>60</v>
      </c>
      <c r="I17" s="39" t="str">
        <f t="shared" si="0"/>
        <v>URL1</v>
      </c>
      <c r="J17" s="16" t="s">
        <v>93</v>
      </c>
      <c r="K17" s="39" t="str">
        <f t="shared" si="1"/>
        <v/>
      </c>
      <c r="M17" s="39" t="str">
        <f t="shared" si="2"/>
        <v/>
      </c>
      <c r="O17" s="13" t="str">
        <f t="shared" ref="O17" si="20">IF(P17="","",HYPERLINK(P17,"URL"))</f>
        <v/>
      </c>
    </row>
    <row r="18" spans="1:15">
      <c r="A18" s="6" t="s">
        <v>26</v>
      </c>
    </row>
    <row r="19" spans="1:15">
      <c r="A19" s="2" t="s">
        <v>35</v>
      </c>
    </row>
    <row r="20" spans="1:15">
      <c r="A20" s="3" t="s">
        <v>36</v>
      </c>
    </row>
  </sheetData>
  <autoFilter ref="A4:D20" xr:uid="{00000000-0001-0000-0000-000000000000}"/>
  <phoneticPr fontId="2"/>
  <hyperlinks>
    <hyperlink ref="B3" r:id="rId1" xr:uid="{09544763-C062-43A6-8F4B-9E532B3B7B97}"/>
  </hyperlinks>
  <printOptions horizontalCentered="1"/>
  <pageMargins left="0.39370078740157483" right="0" top="0.59055118110236227" bottom="0" header="0.19685039370078741" footer="0"/>
  <pageSetup paperSize="9" scale="98" orientation="portrait" horizontalDpi="0" verticalDpi="0" r:id="rId2"/>
  <headerFooter>
    <oddHeader>&amp;C&amp;"BIZ UDPゴシック,標準"&amp;14&amp;F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81DB-7AC7-47B7-AD6C-2059E66A4FC7}">
  <sheetPr>
    <pageSetUpPr fitToPage="1"/>
  </sheetPr>
  <dimension ref="A1:V23"/>
  <sheetViews>
    <sheetView topLeftCell="A7" zoomScale="130" zoomScaleNormal="130" workbookViewId="0">
      <selection activeCell="D10" sqref="D10"/>
    </sheetView>
  </sheetViews>
  <sheetFormatPr defaultRowHeight="13.3" outlineLevelCol="1"/>
  <cols>
    <col min="1" max="2" width="11.640625" style="1" customWidth="1"/>
    <col min="3" max="3" width="10.640625" style="1" customWidth="1"/>
    <col min="4" max="4" width="28.140625" style="11" customWidth="1"/>
    <col min="5" max="5" width="5.640625" style="38" customWidth="1"/>
    <col min="6" max="6" width="20.640625" style="16" hidden="1" customWidth="1" outlineLevel="1"/>
    <col min="7" max="7" width="7.640625" style="38" customWidth="1" collapsed="1"/>
    <col min="8" max="8" width="20.640625" style="16" hidden="1" customWidth="1" outlineLevel="1"/>
    <col min="9" max="9" width="5.640625" style="14" customWidth="1" collapsed="1"/>
    <col min="10" max="10" width="17.85546875" style="16" hidden="1" customWidth="1" outlineLevel="1"/>
    <col min="11" max="11" width="5.640625" style="14" customWidth="1" collapsed="1"/>
    <col min="12" max="12" width="17.85546875" style="16" hidden="1" customWidth="1" outlineLevel="1"/>
    <col min="13" max="13" width="5.640625" style="14" customWidth="1" collapsed="1"/>
    <col min="14" max="14" width="17.85546875" style="16" hidden="1" customWidth="1" outlineLevel="1"/>
    <col min="15" max="15" width="5.140625" style="17" hidden="1" customWidth="1" outlineLevel="1"/>
    <col min="16" max="16" width="5.640625" style="16" hidden="1" customWidth="1" outlineLevel="1"/>
    <col min="17" max="17" width="9.140625" style="1" collapsed="1"/>
    <col min="18" max="22" width="9.140625" style="1"/>
    <col min="23" max="16384" width="9.140625" style="5"/>
  </cols>
  <sheetData>
    <row r="1" spans="1:22" s="1" customFormat="1" ht="16.3">
      <c r="A1" s="4" t="s">
        <v>27</v>
      </c>
      <c r="D1" s="11"/>
      <c r="E1" s="38"/>
      <c r="F1" s="16"/>
      <c r="G1" s="38"/>
      <c r="H1" s="16"/>
      <c r="I1" s="14"/>
      <c r="J1" s="16"/>
      <c r="K1" s="14"/>
      <c r="L1" s="16"/>
      <c r="M1" s="14"/>
      <c r="N1" s="16"/>
      <c r="O1" s="17"/>
      <c r="P1" s="16"/>
    </row>
    <row r="2" spans="1:22" s="1" customFormat="1">
      <c r="A2" s="3" t="s">
        <v>38</v>
      </c>
      <c r="D2" s="11"/>
      <c r="E2" s="38"/>
      <c r="F2" s="16"/>
      <c r="G2" s="38"/>
      <c r="H2" s="16"/>
      <c r="I2" s="14"/>
      <c r="J2" s="16"/>
      <c r="K2" s="14"/>
      <c r="L2" s="16"/>
      <c r="M2" s="14"/>
      <c r="N2" s="16"/>
      <c r="O2" s="17"/>
      <c r="P2" s="16"/>
    </row>
    <row r="3" spans="1:22" s="1" customFormat="1">
      <c r="A3" s="9" t="s">
        <v>52</v>
      </c>
      <c r="B3" s="8" t="s">
        <v>51</v>
      </c>
      <c r="D3" s="11"/>
      <c r="E3" s="38"/>
      <c r="F3" s="16"/>
      <c r="G3" s="38"/>
      <c r="H3" s="16"/>
      <c r="I3" s="14"/>
      <c r="J3" s="16"/>
      <c r="K3" s="14"/>
      <c r="L3" s="16"/>
      <c r="M3" s="14"/>
      <c r="N3" s="16"/>
      <c r="O3" s="17"/>
      <c r="P3" s="16"/>
    </row>
    <row r="4" spans="1:22" s="1" customFormat="1" ht="34.75">
      <c r="A4" s="22" t="s">
        <v>0</v>
      </c>
      <c r="B4" s="28" t="s">
        <v>1</v>
      </c>
      <c r="C4" s="22" t="s">
        <v>169</v>
      </c>
      <c r="D4" s="30" t="s">
        <v>2</v>
      </c>
      <c r="E4" s="35" t="s">
        <v>73</v>
      </c>
      <c r="F4" s="15"/>
      <c r="G4" s="41" t="s">
        <v>166</v>
      </c>
      <c r="H4" s="15"/>
      <c r="I4" s="35" t="s">
        <v>134</v>
      </c>
      <c r="J4" s="15"/>
      <c r="K4" s="35" t="s">
        <v>135</v>
      </c>
      <c r="L4" s="15"/>
      <c r="M4" s="35" t="s">
        <v>136</v>
      </c>
      <c r="N4" s="15"/>
      <c r="O4" s="12" t="s">
        <v>41</v>
      </c>
      <c r="P4" s="15"/>
    </row>
    <row r="5" spans="1:22" s="1" customFormat="1" ht="15.9">
      <c r="A5" s="25" t="s">
        <v>3</v>
      </c>
      <c r="B5" s="29" t="s">
        <v>4</v>
      </c>
      <c r="C5" s="23" t="s">
        <v>167</v>
      </c>
      <c r="D5" s="31" t="s">
        <v>6</v>
      </c>
      <c r="E5" s="39" t="str">
        <f t="shared" ref="E5:E19" si="0">IF(F5="","",HYPERLINK(F5,"URL"))</f>
        <v>URL</v>
      </c>
      <c r="F5" s="18" t="s">
        <v>74</v>
      </c>
      <c r="G5" s="39" t="str">
        <f t="shared" ref="G5" si="1">IF(H5="","",HYPERLINK(H5,"URL"))</f>
        <v>URL</v>
      </c>
      <c r="H5" s="18" t="s">
        <v>42</v>
      </c>
      <c r="I5" s="39" t="str">
        <f t="shared" ref="I5:I19" si="2">IF(J5="","",HYPERLINK(J5,"URL1"))</f>
        <v>URL1</v>
      </c>
      <c r="J5" s="16" t="s">
        <v>122</v>
      </c>
      <c r="K5" s="39" t="str">
        <f t="shared" ref="K5:K19" si="3">IF(L5="","",HYPERLINK(L5,"URL2"))</f>
        <v>URL2</v>
      </c>
      <c r="L5" s="16" t="s">
        <v>132</v>
      </c>
      <c r="M5" s="39" t="str">
        <f t="shared" ref="M5:M19" si="4">IF(N5="","",HYPERLINK(N5,"URL3"))</f>
        <v>URL3</v>
      </c>
      <c r="N5" s="16" t="s">
        <v>133</v>
      </c>
      <c r="O5" s="13" t="str">
        <f>IF(P5="","",HYPERLINK(P5,"URL"))</f>
        <v/>
      </c>
      <c r="P5" s="16"/>
    </row>
    <row r="6" spans="1:22" s="1" customFormat="1" ht="15.9">
      <c r="A6" s="24" t="s">
        <v>45</v>
      </c>
      <c r="B6" s="27" t="s">
        <v>43</v>
      </c>
      <c r="C6" s="21"/>
      <c r="D6" s="31" t="s">
        <v>46</v>
      </c>
      <c r="E6" s="39" t="str">
        <f>IF(F6="","",HYPERLINK(F6,"URL"))</f>
        <v>URL</v>
      </c>
      <c r="F6" s="18" t="s">
        <v>75</v>
      </c>
      <c r="G6" s="39" t="str">
        <f>IF(H6="","",HYPERLINK(H6,"URL"))</f>
        <v>URL</v>
      </c>
      <c r="H6" s="18" t="s">
        <v>47</v>
      </c>
      <c r="I6" s="39" t="str">
        <f t="shared" si="2"/>
        <v>URL1</v>
      </c>
      <c r="J6" s="16" t="s">
        <v>123</v>
      </c>
      <c r="K6" s="39" t="str">
        <f t="shared" si="3"/>
        <v>URL2</v>
      </c>
      <c r="L6" s="16" t="s">
        <v>138</v>
      </c>
      <c r="M6" s="39" t="str">
        <f t="shared" si="4"/>
        <v/>
      </c>
      <c r="N6" s="16"/>
      <c r="O6" s="13" t="str">
        <f>IF(P6="","",HYPERLINK(P6,"URL"))</f>
        <v/>
      </c>
      <c r="P6" s="16"/>
    </row>
    <row r="7" spans="1:22" s="1" customFormat="1">
      <c r="A7" s="25" t="s">
        <v>9</v>
      </c>
      <c r="B7" s="27" t="s">
        <v>65</v>
      </c>
      <c r="C7" s="23" t="s">
        <v>68</v>
      </c>
      <c r="D7" s="32" t="s">
        <v>143</v>
      </c>
      <c r="E7" s="39" t="str">
        <f>IF(F7="","",HYPERLINK(F7,"URL"))</f>
        <v>URL</v>
      </c>
      <c r="F7" s="36" t="s">
        <v>140</v>
      </c>
      <c r="G7" s="39" t="str">
        <f>IF(H7="","",HYPERLINK(H7,"URL"))</f>
        <v>URL</v>
      </c>
      <c r="H7" s="36" t="s">
        <v>141</v>
      </c>
      <c r="I7" s="39" t="str">
        <f t="shared" si="2"/>
        <v>URL1</v>
      </c>
      <c r="J7" s="36" t="s">
        <v>142</v>
      </c>
      <c r="K7" s="40" t="str">
        <f t="shared" si="3"/>
        <v/>
      </c>
      <c r="L7" s="16"/>
      <c r="M7" s="40" t="str">
        <f t="shared" si="4"/>
        <v/>
      </c>
      <c r="N7" s="16"/>
      <c r="O7" s="13" t="str">
        <f>IF(P7="","",HYPERLINK(P7,"URL"))</f>
        <v/>
      </c>
      <c r="P7" s="16"/>
    </row>
    <row r="8" spans="1:22" s="1" customFormat="1">
      <c r="A8" s="25" t="s">
        <v>9</v>
      </c>
      <c r="B8" s="29" t="s">
        <v>8</v>
      </c>
      <c r="C8" s="23" t="s">
        <v>105</v>
      </c>
      <c r="D8" s="32" t="s">
        <v>113</v>
      </c>
      <c r="E8" s="39" t="str">
        <f t="shared" ref="E8:E9" si="5">IF(F8="","",HYPERLINK(F8,"URL"))</f>
        <v>URL</v>
      </c>
      <c r="F8" s="16" t="s">
        <v>107</v>
      </c>
      <c r="G8" s="39" t="str">
        <f t="shared" ref="G8:G19" si="6">IF(H8="","",HYPERLINK(H8,"URL"))</f>
        <v>URL</v>
      </c>
      <c r="H8" s="16" t="s">
        <v>144</v>
      </c>
      <c r="I8" s="39" t="str">
        <f t="shared" si="2"/>
        <v>URL1</v>
      </c>
      <c r="J8" s="16" t="s">
        <v>145</v>
      </c>
      <c r="K8" s="39" t="str">
        <f t="shared" si="3"/>
        <v/>
      </c>
      <c r="L8" s="16"/>
      <c r="M8" s="39" t="str">
        <f t="shared" si="4"/>
        <v/>
      </c>
      <c r="N8" s="16"/>
      <c r="O8" s="13" t="str">
        <f t="shared" ref="O8:O19" si="7">IF(P8="","",HYPERLINK(P8,"URL"))</f>
        <v/>
      </c>
      <c r="P8" s="16"/>
    </row>
    <row r="9" spans="1:22" s="1" customFormat="1">
      <c r="A9" s="25" t="s">
        <v>9</v>
      </c>
      <c r="B9" s="29" t="s">
        <v>8</v>
      </c>
      <c r="C9" s="23" t="s">
        <v>106</v>
      </c>
      <c r="D9" s="32" t="s">
        <v>112</v>
      </c>
      <c r="E9" s="39" t="str">
        <f t="shared" si="5"/>
        <v>URL</v>
      </c>
      <c r="F9" s="16" t="s">
        <v>108</v>
      </c>
      <c r="G9" s="39" t="str">
        <f t="shared" si="6"/>
        <v>URL</v>
      </c>
      <c r="H9" s="16" t="s">
        <v>144</v>
      </c>
      <c r="I9" s="39" t="str">
        <f t="shared" si="2"/>
        <v>URL1</v>
      </c>
      <c r="J9" s="16" t="s">
        <v>146</v>
      </c>
      <c r="K9" s="39" t="str">
        <f t="shared" si="3"/>
        <v/>
      </c>
      <c r="L9" s="16"/>
      <c r="M9" s="39" t="str">
        <f t="shared" si="4"/>
        <v/>
      </c>
      <c r="N9" s="16"/>
      <c r="O9" s="13" t="str">
        <f t="shared" si="7"/>
        <v/>
      </c>
      <c r="P9" s="16"/>
    </row>
    <row r="10" spans="1:22" s="1" customFormat="1">
      <c r="A10" s="25" t="s">
        <v>28</v>
      </c>
      <c r="B10" s="29" t="s">
        <v>8</v>
      </c>
      <c r="C10" s="23" t="s">
        <v>29</v>
      </c>
      <c r="D10" s="32" t="s">
        <v>114</v>
      </c>
      <c r="E10" s="39" t="str">
        <f t="shared" si="0"/>
        <v>URL</v>
      </c>
      <c r="F10" s="16" t="s">
        <v>109</v>
      </c>
      <c r="G10" s="39" t="str">
        <f t="shared" si="6"/>
        <v>URL</v>
      </c>
      <c r="H10" s="16" t="s">
        <v>147</v>
      </c>
      <c r="I10" s="39" t="str">
        <f t="shared" si="2"/>
        <v/>
      </c>
      <c r="J10" s="16"/>
      <c r="K10" s="39" t="str">
        <f t="shared" si="3"/>
        <v/>
      </c>
      <c r="L10" s="16"/>
      <c r="M10" s="39" t="str">
        <f t="shared" si="4"/>
        <v/>
      </c>
      <c r="N10" s="16"/>
      <c r="O10" s="13" t="str">
        <f t="shared" si="7"/>
        <v/>
      </c>
      <c r="P10" s="16"/>
    </row>
    <row r="11" spans="1:22" s="1" customFormat="1">
      <c r="A11" s="25" t="s">
        <v>11</v>
      </c>
      <c r="B11" s="29" t="s">
        <v>8</v>
      </c>
      <c r="C11" s="23" t="s">
        <v>167</v>
      </c>
      <c r="D11" s="32" t="s">
        <v>111</v>
      </c>
      <c r="E11" s="39" t="str">
        <f t="shared" si="0"/>
        <v>URL</v>
      </c>
      <c r="F11" s="16" t="s">
        <v>110</v>
      </c>
      <c r="G11" s="39" t="str">
        <f t="shared" si="6"/>
        <v>URL</v>
      </c>
      <c r="H11" s="16" t="s">
        <v>148</v>
      </c>
      <c r="I11" s="39" t="str">
        <f t="shared" si="2"/>
        <v/>
      </c>
      <c r="J11" s="16"/>
      <c r="K11" s="39" t="str">
        <f t="shared" si="3"/>
        <v/>
      </c>
      <c r="L11" s="16"/>
      <c r="M11" s="39" t="str">
        <f t="shared" si="4"/>
        <v/>
      </c>
      <c r="N11" s="16"/>
      <c r="O11" s="13" t="str">
        <f t="shared" si="7"/>
        <v/>
      </c>
      <c r="P11" s="16"/>
    </row>
    <row r="12" spans="1:22" s="16" customFormat="1">
      <c r="A12" s="25" t="s">
        <v>16</v>
      </c>
      <c r="B12" s="29" t="s">
        <v>17</v>
      </c>
      <c r="C12" s="23" t="s">
        <v>30</v>
      </c>
      <c r="D12" s="32" t="s">
        <v>124</v>
      </c>
      <c r="E12" s="39" t="str">
        <f t="shared" si="0"/>
        <v>URL</v>
      </c>
      <c r="F12" s="16" t="s">
        <v>130</v>
      </c>
      <c r="G12" s="39" t="str">
        <f t="shared" si="6"/>
        <v>URL</v>
      </c>
      <c r="H12" s="16" t="s">
        <v>137</v>
      </c>
      <c r="I12" s="39" t="str">
        <f t="shared" si="2"/>
        <v>URL1</v>
      </c>
      <c r="J12" s="16" t="s">
        <v>131</v>
      </c>
      <c r="K12" s="39" t="str">
        <f t="shared" si="3"/>
        <v>URL2</v>
      </c>
      <c r="L12" s="16" t="s">
        <v>139</v>
      </c>
      <c r="M12" s="39" t="str">
        <f t="shared" si="4"/>
        <v/>
      </c>
      <c r="O12" s="13" t="str">
        <f t="shared" si="7"/>
        <v/>
      </c>
      <c r="Q12" s="1"/>
      <c r="R12" s="1"/>
      <c r="S12" s="1"/>
      <c r="T12" s="1"/>
      <c r="U12" s="1"/>
      <c r="V12" s="1"/>
    </row>
    <row r="13" spans="1:22" s="16" customFormat="1" ht="15.9">
      <c r="A13" s="25" t="s">
        <v>31</v>
      </c>
      <c r="B13" s="29" t="s">
        <v>69</v>
      </c>
      <c r="C13" s="23" t="s">
        <v>167</v>
      </c>
      <c r="D13" s="32" t="s">
        <v>125</v>
      </c>
      <c r="E13" s="39" t="str">
        <f t="shared" si="0"/>
        <v>URL</v>
      </c>
      <c r="F13" s="36" t="s">
        <v>100</v>
      </c>
      <c r="G13" s="39" t="str">
        <f t="shared" si="6"/>
        <v>URL</v>
      </c>
      <c r="H13" s="37" t="s">
        <v>128</v>
      </c>
      <c r="I13" s="39" t="str">
        <f t="shared" si="2"/>
        <v/>
      </c>
      <c r="J13" s="36"/>
      <c r="K13" s="39" t="str">
        <f t="shared" si="3"/>
        <v/>
      </c>
      <c r="M13" s="39" t="str">
        <f t="shared" si="4"/>
        <v/>
      </c>
      <c r="O13" s="13" t="str">
        <f t="shared" si="7"/>
        <v/>
      </c>
      <c r="Q13" s="1"/>
      <c r="R13" s="1"/>
      <c r="S13" s="1"/>
      <c r="T13" s="1"/>
      <c r="U13" s="1"/>
      <c r="V13" s="1"/>
    </row>
    <row r="14" spans="1:22" s="16" customFormat="1">
      <c r="A14" s="25" t="s">
        <v>32</v>
      </c>
      <c r="B14" s="29" t="s">
        <v>8</v>
      </c>
      <c r="C14" s="23" t="s">
        <v>32</v>
      </c>
      <c r="D14" s="32" t="s">
        <v>115</v>
      </c>
      <c r="E14" s="39" t="str">
        <f t="shared" si="0"/>
        <v>URL</v>
      </c>
      <c r="F14" s="16" t="s">
        <v>120</v>
      </c>
      <c r="G14" s="39" t="str">
        <f t="shared" si="6"/>
        <v>URL</v>
      </c>
      <c r="H14" s="16" t="s">
        <v>149</v>
      </c>
      <c r="I14" s="39" t="str">
        <f t="shared" si="2"/>
        <v/>
      </c>
      <c r="K14" s="39" t="str">
        <f t="shared" si="3"/>
        <v/>
      </c>
      <c r="M14" s="39" t="str">
        <f t="shared" si="4"/>
        <v/>
      </c>
      <c r="O14" s="13" t="str">
        <f t="shared" si="7"/>
        <v/>
      </c>
      <c r="Q14" s="1"/>
      <c r="R14" s="1"/>
      <c r="S14" s="1"/>
      <c r="T14" s="1"/>
      <c r="U14" s="1"/>
      <c r="V14" s="1"/>
    </row>
    <row r="15" spans="1:22" s="16" customFormat="1">
      <c r="A15" s="25" t="s">
        <v>33</v>
      </c>
      <c r="B15" s="29" t="s">
        <v>8</v>
      </c>
      <c r="C15" s="23" t="s">
        <v>70</v>
      </c>
      <c r="D15" s="32" t="s">
        <v>116</v>
      </c>
      <c r="E15" s="39" t="str">
        <f t="shared" si="0"/>
        <v>URL</v>
      </c>
      <c r="F15" s="16" t="s">
        <v>119</v>
      </c>
      <c r="G15" s="39" t="str">
        <f t="shared" si="6"/>
        <v>URL</v>
      </c>
      <c r="H15" s="16" t="s">
        <v>150</v>
      </c>
      <c r="I15" s="39" t="str">
        <f t="shared" si="2"/>
        <v/>
      </c>
      <c r="K15" s="39" t="str">
        <f t="shared" si="3"/>
        <v/>
      </c>
      <c r="M15" s="39" t="str">
        <f t="shared" si="4"/>
        <v/>
      </c>
      <c r="O15" s="13" t="str">
        <f t="shared" si="7"/>
        <v/>
      </c>
      <c r="Q15" s="1"/>
      <c r="R15" s="1"/>
      <c r="S15" s="1"/>
      <c r="T15" s="1"/>
      <c r="U15" s="1"/>
      <c r="V15" s="1"/>
    </row>
    <row r="16" spans="1:22" s="16" customFormat="1">
      <c r="A16" s="25" t="s">
        <v>20</v>
      </c>
      <c r="B16" s="29" t="s">
        <v>8</v>
      </c>
      <c r="C16" s="23" t="s">
        <v>71</v>
      </c>
      <c r="D16" s="32" t="s">
        <v>117</v>
      </c>
      <c r="E16" s="39" t="str">
        <f t="shared" si="0"/>
        <v>URL</v>
      </c>
      <c r="F16" s="16" t="s">
        <v>118</v>
      </c>
      <c r="G16" s="39" t="str">
        <f t="shared" si="6"/>
        <v>URL</v>
      </c>
      <c r="H16" s="16" t="s">
        <v>151</v>
      </c>
      <c r="I16" s="39" t="str">
        <f t="shared" si="2"/>
        <v/>
      </c>
      <c r="K16" s="39" t="str">
        <f t="shared" si="3"/>
        <v/>
      </c>
      <c r="M16" s="39" t="str">
        <f t="shared" si="4"/>
        <v/>
      </c>
      <c r="O16" s="13" t="str">
        <f t="shared" si="7"/>
        <v/>
      </c>
      <c r="Q16" s="1"/>
      <c r="R16" s="1"/>
      <c r="S16" s="1"/>
      <c r="T16" s="1"/>
      <c r="U16" s="1"/>
      <c r="V16" s="1"/>
    </row>
    <row r="17" spans="1:22" s="16" customFormat="1">
      <c r="A17" s="25" t="s">
        <v>129</v>
      </c>
      <c r="B17" s="29" t="s">
        <v>72</v>
      </c>
      <c r="C17" s="21" t="s">
        <v>14</v>
      </c>
      <c r="D17" s="33" t="s">
        <v>101</v>
      </c>
      <c r="E17" s="39" t="str">
        <f t="shared" si="0"/>
        <v>URL</v>
      </c>
      <c r="F17" s="36" t="s">
        <v>102</v>
      </c>
      <c r="G17" s="39" t="str">
        <f t="shared" si="6"/>
        <v>URL</v>
      </c>
      <c r="H17" s="36" t="s">
        <v>152</v>
      </c>
      <c r="I17" s="39" t="str">
        <f t="shared" si="2"/>
        <v>URL1</v>
      </c>
      <c r="J17" s="36" t="s">
        <v>153</v>
      </c>
      <c r="K17" s="39" t="str">
        <f t="shared" si="3"/>
        <v>URL2</v>
      </c>
      <c r="L17" s="16" t="s">
        <v>154</v>
      </c>
      <c r="M17" s="39" t="str">
        <f t="shared" si="4"/>
        <v>URL3</v>
      </c>
      <c r="N17" s="16" t="s">
        <v>155</v>
      </c>
      <c r="O17" s="13" t="str">
        <f t="shared" si="7"/>
        <v/>
      </c>
      <c r="Q17" s="1"/>
      <c r="R17" s="1"/>
      <c r="S17" s="1"/>
      <c r="T17" s="1"/>
      <c r="U17" s="1"/>
      <c r="V17" s="1"/>
    </row>
    <row r="18" spans="1:22" s="16" customFormat="1">
      <c r="A18" s="25" t="s">
        <v>129</v>
      </c>
      <c r="B18" s="29" t="s">
        <v>8</v>
      </c>
      <c r="C18" s="23" t="s">
        <v>159</v>
      </c>
      <c r="D18" s="33" t="s">
        <v>160</v>
      </c>
      <c r="E18" s="39" t="str">
        <f t="shared" si="0"/>
        <v>URL</v>
      </c>
      <c r="F18" s="36" t="s">
        <v>162</v>
      </c>
      <c r="G18" s="39" t="str">
        <f t="shared" si="6"/>
        <v>URL</v>
      </c>
      <c r="H18" s="36" t="s">
        <v>161</v>
      </c>
      <c r="I18" s="39" t="str">
        <f t="shared" si="2"/>
        <v/>
      </c>
      <c r="K18" s="39" t="str">
        <f t="shared" si="3"/>
        <v/>
      </c>
      <c r="M18" s="39" t="str">
        <f t="shared" si="4"/>
        <v/>
      </c>
      <c r="O18" s="13" t="str">
        <f t="shared" si="7"/>
        <v/>
      </c>
      <c r="Q18" s="1"/>
      <c r="R18" s="1"/>
      <c r="S18" s="1"/>
      <c r="T18" s="1"/>
      <c r="U18" s="1"/>
      <c r="V18" s="1"/>
    </row>
    <row r="19" spans="1:22" s="16" customFormat="1">
      <c r="A19" s="25" t="s">
        <v>24</v>
      </c>
      <c r="B19" s="29" t="s">
        <v>67</v>
      </c>
      <c r="C19" s="23" t="s">
        <v>167</v>
      </c>
      <c r="D19" s="32" t="s">
        <v>126</v>
      </c>
      <c r="E19" s="39" t="str">
        <f t="shared" si="0"/>
        <v>URL</v>
      </c>
      <c r="F19" s="36" t="s">
        <v>103</v>
      </c>
      <c r="G19" s="39" t="str">
        <f t="shared" si="6"/>
        <v>URL</v>
      </c>
      <c r="H19" s="36" t="s">
        <v>156</v>
      </c>
      <c r="I19" s="39" t="str">
        <f t="shared" si="2"/>
        <v>URL1</v>
      </c>
      <c r="J19" s="36" t="s">
        <v>104</v>
      </c>
      <c r="K19" s="39" t="str">
        <f t="shared" si="3"/>
        <v/>
      </c>
      <c r="M19" s="39" t="str">
        <f t="shared" si="4"/>
        <v/>
      </c>
      <c r="O19" s="13" t="str">
        <f t="shared" si="7"/>
        <v/>
      </c>
      <c r="Q19" s="1"/>
      <c r="R19" s="1"/>
      <c r="S19" s="1"/>
      <c r="T19" s="1"/>
      <c r="U19" s="1"/>
      <c r="V19" s="1"/>
    </row>
    <row r="20" spans="1:22" s="16" customFormat="1">
      <c r="A20" s="7" t="s">
        <v>26</v>
      </c>
      <c r="B20" s="1"/>
      <c r="C20" s="1"/>
      <c r="D20" s="10"/>
      <c r="E20" s="38"/>
      <c r="G20" s="38"/>
      <c r="I20" s="14"/>
      <c r="K20" s="14"/>
      <c r="M20" s="14"/>
      <c r="O20" s="17"/>
      <c r="Q20" s="1"/>
      <c r="R20" s="1"/>
      <c r="S20" s="1"/>
      <c r="T20" s="1"/>
      <c r="U20" s="1"/>
      <c r="V20" s="1"/>
    </row>
    <row r="21" spans="1:22" s="16" customFormat="1">
      <c r="A21" s="3" t="s">
        <v>34</v>
      </c>
      <c r="B21" s="1"/>
      <c r="C21" s="1"/>
      <c r="D21" s="10"/>
      <c r="E21" s="38"/>
      <c r="G21" s="38"/>
      <c r="I21" s="14"/>
      <c r="K21" s="14"/>
      <c r="M21" s="14"/>
      <c r="O21" s="17"/>
      <c r="Q21" s="1"/>
      <c r="R21" s="1"/>
      <c r="S21" s="1"/>
      <c r="T21" s="1"/>
      <c r="U21" s="1"/>
      <c r="V21" s="1"/>
    </row>
    <row r="22" spans="1:22" s="16" customFormat="1">
      <c r="A22" s="3" t="s">
        <v>37</v>
      </c>
      <c r="B22" s="1"/>
      <c r="C22" s="1"/>
      <c r="D22" s="10"/>
      <c r="E22" s="38"/>
      <c r="G22" s="38"/>
      <c r="I22" s="14"/>
      <c r="K22" s="14"/>
      <c r="M22" s="14"/>
      <c r="O22" s="17"/>
      <c r="Q22" s="1"/>
      <c r="R22" s="1"/>
      <c r="S22" s="1"/>
      <c r="T22" s="1"/>
      <c r="U22" s="1"/>
      <c r="V22" s="1"/>
    </row>
    <row r="23" spans="1:22" s="16" customFormat="1">
      <c r="A23" s="3"/>
      <c r="B23" s="1"/>
      <c r="C23" s="1"/>
      <c r="D23" s="10"/>
      <c r="E23" s="38"/>
      <c r="G23" s="38"/>
      <c r="I23" s="14"/>
      <c r="K23" s="14"/>
      <c r="M23" s="14"/>
      <c r="O23" s="17"/>
      <c r="Q23" s="1"/>
      <c r="R23" s="1"/>
      <c r="S23" s="1"/>
      <c r="T23" s="1"/>
      <c r="U23" s="1"/>
      <c r="V23" s="1"/>
    </row>
  </sheetData>
  <phoneticPr fontId="2"/>
  <hyperlinks>
    <hyperlink ref="B3" r:id="rId1" xr:uid="{836E398F-85F7-47CD-BFCA-140E4A9134B1}"/>
  </hyperlinks>
  <printOptions horizontalCentered="1"/>
  <pageMargins left="0.39370078740157483" right="0" top="0.59055118110236227" bottom="0" header="0.19685039370078741" footer="0"/>
  <pageSetup paperSize="9" scale="98" orientation="portrait" horizontalDpi="0" verticalDpi="0" r:id="rId2"/>
  <headerFooter>
    <oddHeader>&amp;C&amp;"BIZ UDPゴシック,標準"&amp;14&amp;F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31703-73E9-4D4A-ACA7-47FB6BCAF7BD}">
  <dimension ref="A1:H210"/>
  <sheetViews>
    <sheetView tabSelected="1" workbookViewId="0">
      <pane ySplit="1" topLeftCell="A5" activePane="bottomLeft" state="frozen"/>
      <selection pane="bottomLeft" activeCell="D5" sqref="D5"/>
    </sheetView>
  </sheetViews>
  <sheetFormatPr defaultRowHeight="11.6"/>
  <cols>
    <col min="1" max="1" width="9.640625" style="56" bestFit="1" customWidth="1"/>
    <col min="2" max="2" width="5.5" style="45" customWidth="1"/>
    <col min="3" max="3" width="17.640625" style="48" customWidth="1"/>
    <col min="4" max="4" width="35.640625" style="48" customWidth="1"/>
    <col min="5" max="5" width="7.640625" style="50" customWidth="1"/>
    <col min="6" max="8" width="40.640625" style="53" customWidth="1"/>
    <col min="9" max="16384" width="9.140625" style="42"/>
  </cols>
  <sheetData>
    <row r="1" spans="1:8">
      <c r="A1" s="54" t="s">
        <v>0</v>
      </c>
      <c r="B1" s="43" t="s">
        <v>170</v>
      </c>
      <c r="C1" s="46" t="s">
        <v>171</v>
      </c>
      <c r="D1" s="46" t="s">
        <v>172</v>
      </c>
      <c r="E1" s="49" t="s">
        <v>173</v>
      </c>
      <c r="F1" s="51" t="s">
        <v>174</v>
      </c>
      <c r="G1" s="51" t="s">
        <v>175</v>
      </c>
      <c r="H1" s="51" t="s">
        <v>176</v>
      </c>
    </row>
    <row r="2" spans="1:8" ht="23.15">
      <c r="A2" s="55" t="s">
        <v>3</v>
      </c>
      <c r="B2" s="44" t="s">
        <v>177</v>
      </c>
      <c r="C2" s="47" t="s">
        <v>178</v>
      </c>
      <c r="D2" s="47" t="s">
        <v>179</v>
      </c>
      <c r="E2" s="50">
        <v>5</v>
      </c>
      <c r="F2" s="52" t="s">
        <v>180</v>
      </c>
      <c r="G2" s="52" t="s">
        <v>181</v>
      </c>
      <c r="H2" s="52" t="s">
        <v>182</v>
      </c>
    </row>
    <row r="3" spans="1:8">
      <c r="A3" s="55" t="s">
        <v>3</v>
      </c>
      <c r="B3" s="44" t="s">
        <v>233</v>
      </c>
      <c r="C3" s="47" t="s">
        <v>178</v>
      </c>
      <c r="D3" s="47" t="s">
        <v>234</v>
      </c>
      <c r="E3" s="50">
        <v>10</v>
      </c>
      <c r="F3" s="52" t="s">
        <v>235</v>
      </c>
      <c r="G3" s="52" t="s">
        <v>236</v>
      </c>
      <c r="H3" s="52" t="s">
        <v>237</v>
      </c>
    </row>
    <row r="4" spans="1:8">
      <c r="A4" s="55" t="s">
        <v>3</v>
      </c>
      <c r="B4" s="44" t="s">
        <v>278</v>
      </c>
      <c r="C4" s="47" t="s">
        <v>178</v>
      </c>
      <c r="D4" s="47" t="s">
        <v>279</v>
      </c>
      <c r="E4" s="50">
        <v>10</v>
      </c>
      <c r="F4" s="52" t="s">
        <v>280</v>
      </c>
      <c r="G4" s="52" t="s">
        <v>281</v>
      </c>
      <c r="H4" s="52" t="s">
        <v>282</v>
      </c>
    </row>
    <row r="5" spans="1:8">
      <c r="A5" s="55" t="s">
        <v>3</v>
      </c>
      <c r="B5" s="44" t="s">
        <v>323</v>
      </c>
      <c r="C5" s="47" t="s">
        <v>178</v>
      </c>
      <c r="D5" s="47" t="s">
        <v>1517</v>
      </c>
      <c r="E5" s="50">
        <v>10</v>
      </c>
      <c r="F5" s="52" t="s">
        <v>324</v>
      </c>
      <c r="G5" s="52" t="s">
        <v>325</v>
      </c>
      <c r="H5" s="52" t="s">
        <v>326</v>
      </c>
    </row>
    <row r="6" spans="1:8">
      <c r="A6" s="55" t="s">
        <v>3</v>
      </c>
      <c r="B6" s="44" t="s">
        <v>367</v>
      </c>
      <c r="C6" s="47" t="s">
        <v>178</v>
      </c>
      <c r="D6" s="47" t="s">
        <v>368</v>
      </c>
      <c r="E6" s="50">
        <v>8</v>
      </c>
      <c r="F6" s="52" t="s">
        <v>369</v>
      </c>
      <c r="G6" s="52" t="s">
        <v>370</v>
      </c>
      <c r="H6" s="52" t="s">
        <v>371</v>
      </c>
    </row>
    <row r="7" spans="1:8">
      <c r="A7" s="55" t="s">
        <v>3</v>
      </c>
      <c r="B7" s="44" t="s">
        <v>412</v>
      </c>
      <c r="C7" s="47" t="s">
        <v>178</v>
      </c>
      <c r="D7" s="47" t="s">
        <v>413</v>
      </c>
      <c r="E7" s="50">
        <v>6</v>
      </c>
      <c r="F7" s="52" t="s">
        <v>414</v>
      </c>
      <c r="G7" s="52" t="s">
        <v>415</v>
      </c>
      <c r="H7" s="52" t="s">
        <v>416</v>
      </c>
    </row>
    <row r="8" spans="1:8">
      <c r="A8" s="55" t="s">
        <v>7</v>
      </c>
      <c r="B8" s="44" t="s">
        <v>177</v>
      </c>
      <c r="C8" s="47" t="s">
        <v>178</v>
      </c>
      <c r="D8" s="47" t="s">
        <v>558</v>
      </c>
      <c r="E8" s="50">
        <v>10</v>
      </c>
      <c r="F8" s="52" t="s">
        <v>559</v>
      </c>
      <c r="G8" s="52" t="s">
        <v>560</v>
      </c>
      <c r="H8" s="52" t="s">
        <v>561</v>
      </c>
    </row>
    <row r="9" spans="1:8">
      <c r="A9" s="55" t="s">
        <v>7</v>
      </c>
      <c r="B9" s="44" t="s">
        <v>233</v>
      </c>
      <c r="C9" s="47" t="s">
        <v>178</v>
      </c>
      <c r="D9" s="47" t="s">
        <v>602</v>
      </c>
      <c r="E9" s="50">
        <v>8</v>
      </c>
      <c r="F9" s="52" t="s">
        <v>603</v>
      </c>
      <c r="G9" s="52" t="s">
        <v>604</v>
      </c>
      <c r="H9" s="52" t="s">
        <v>605</v>
      </c>
    </row>
    <row r="10" spans="1:8">
      <c r="A10" s="55" t="s">
        <v>7</v>
      </c>
      <c r="B10" s="44" t="s">
        <v>278</v>
      </c>
      <c r="C10" s="47" t="s">
        <v>178</v>
      </c>
      <c r="D10" s="47" t="s">
        <v>646</v>
      </c>
      <c r="E10" s="50">
        <v>8</v>
      </c>
      <c r="F10" s="52" t="s">
        <v>647</v>
      </c>
      <c r="G10" s="52" t="s">
        <v>648</v>
      </c>
      <c r="H10" s="52" t="s">
        <v>649</v>
      </c>
    </row>
    <row r="11" spans="1:8">
      <c r="A11" s="55" t="s">
        <v>7</v>
      </c>
      <c r="B11" s="44" t="s">
        <v>323</v>
      </c>
      <c r="C11" s="47" t="s">
        <v>178</v>
      </c>
      <c r="D11" s="47" t="s">
        <v>689</v>
      </c>
      <c r="E11" s="50">
        <v>10</v>
      </c>
      <c r="F11" s="52" t="s">
        <v>690</v>
      </c>
      <c r="G11" s="52" t="s">
        <v>691</v>
      </c>
      <c r="H11" s="52" t="s">
        <v>692</v>
      </c>
    </row>
    <row r="12" spans="1:8">
      <c r="A12" s="55" t="s">
        <v>7</v>
      </c>
      <c r="B12" s="44" t="s">
        <v>367</v>
      </c>
      <c r="C12" s="47" t="s">
        <v>178</v>
      </c>
      <c r="D12" s="47" t="s">
        <v>732</v>
      </c>
      <c r="E12" s="50">
        <v>8</v>
      </c>
      <c r="F12" s="52" t="s">
        <v>733</v>
      </c>
      <c r="G12" s="52" t="s">
        <v>734</v>
      </c>
      <c r="H12" s="52" t="s">
        <v>735</v>
      </c>
    </row>
    <row r="13" spans="1:8">
      <c r="A13" s="55" t="s">
        <v>7</v>
      </c>
      <c r="B13" s="44" t="s">
        <v>412</v>
      </c>
      <c r="C13" s="47" t="s">
        <v>178</v>
      </c>
      <c r="D13" s="47" t="s">
        <v>775</v>
      </c>
      <c r="E13" s="50">
        <v>8</v>
      </c>
      <c r="F13" s="52" t="s">
        <v>776</v>
      </c>
      <c r="G13" s="52" t="s">
        <v>777</v>
      </c>
      <c r="H13" s="52" t="s">
        <v>778</v>
      </c>
    </row>
    <row r="14" spans="1:8">
      <c r="A14" s="55" t="s">
        <v>9</v>
      </c>
      <c r="B14" s="44" t="s">
        <v>278</v>
      </c>
      <c r="C14" s="47" t="s">
        <v>457</v>
      </c>
      <c r="D14" s="47" t="s">
        <v>458</v>
      </c>
      <c r="E14" s="50">
        <v>14</v>
      </c>
      <c r="F14" s="52" t="s">
        <v>459</v>
      </c>
      <c r="G14" s="52" t="s">
        <v>460</v>
      </c>
      <c r="H14" s="52" t="s">
        <v>461</v>
      </c>
    </row>
    <row r="15" spans="1:8">
      <c r="A15" s="55" t="s">
        <v>9</v>
      </c>
      <c r="B15" s="44" t="s">
        <v>323</v>
      </c>
      <c r="C15" s="47" t="s">
        <v>457</v>
      </c>
      <c r="D15" s="47" t="s">
        <v>486</v>
      </c>
      <c r="E15" s="50">
        <v>14</v>
      </c>
      <c r="F15" s="52" t="s">
        <v>487</v>
      </c>
      <c r="G15" s="52" t="s">
        <v>488</v>
      </c>
      <c r="H15" s="52" t="s">
        <v>489</v>
      </c>
    </row>
    <row r="16" spans="1:8" ht="23.15">
      <c r="A16" s="55" t="s">
        <v>9</v>
      </c>
      <c r="B16" s="44" t="s">
        <v>367</v>
      </c>
      <c r="C16" s="47" t="s">
        <v>457</v>
      </c>
      <c r="D16" s="47" t="s">
        <v>510</v>
      </c>
      <c r="E16" s="50">
        <v>16</v>
      </c>
      <c r="F16" s="52" t="s">
        <v>511</v>
      </c>
      <c r="G16" s="52" t="s">
        <v>512</v>
      </c>
      <c r="H16" s="52" t="s">
        <v>513</v>
      </c>
    </row>
    <row r="17" spans="1:8" ht="23.15">
      <c r="A17" s="55" t="s">
        <v>9</v>
      </c>
      <c r="B17" s="44" t="s">
        <v>412</v>
      </c>
      <c r="C17" s="47" t="s">
        <v>457</v>
      </c>
      <c r="D17" s="47" t="s">
        <v>534</v>
      </c>
      <c r="E17" s="50">
        <v>16</v>
      </c>
      <c r="F17" s="52" t="s">
        <v>535</v>
      </c>
      <c r="G17" s="52" t="s">
        <v>536</v>
      </c>
      <c r="H17" s="52" t="s">
        <v>537</v>
      </c>
    </row>
    <row r="18" spans="1:8">
      <c r="A18" s="55" t="s">
        <v>11</v>
      </c>
      <c r="B18" s="44" t="s">
        <v>278</v>
      </c>
      <c r="C18" s="47" t="s">
        <v>457</v>
      </c>
      <c r="D18" s="47" t="s">
        <v>816</v>
      </c>
      <c r="E18" s="50">
        <v>12</v>
      </c>
      <c r="F18" s="52" t="s">
        <v>817</v>
      </c>
      <c r="G18" s="52" t="s">
        <v>818</v>
      </c>
      <c r="H18" s="52" t="s">
        <v>819</v>
      </c>
    </row>
    <row r="19" spans="1:8">
      <c r="A19" s="55" t="s">
        <v>11</v>
      </c>
      <c r="B19" s="44" t="s">
        <v>323</v>
      </c>
      <c r="C19" s="47" t="s">
        <v>457</v>
      </c>
      <c r="D19" s="47" t="s">
        <v>842</v>
      </c>
      <c r="E19" s="50">
        <v>8</v>
      </c>
      <c r="F19" s="52" t="s">
        <v>843</v>
      </c>
      <c r="G19" s="52" t="s">
        <v>844</v>
      </c>
      <c r="H19" s="52" t="s">
        <v>845</v>
      </c>
    </row>
    <row r="20" spans="1:8">
      <c r="A20" s="55" t="s">
        <v>11</v>
      </c>
      <c r="B20" s="44" t="s">
        <v>367</v>
      </c>
      <c r="C20" s="47" t="s">
        <v>457</v>
      </c>
      <c r="D20" s="47" t="s">
        <v>866</v>
      </c>
      <c r="E20" s="50">
        <v>12</v>
      </c>
      <c r="F20" s="52" t="s">
        <v>867</v>
      </c>
      <c r="G20" s="52" t="s">
        <v>868</v>
      </c>
      <c r="H20" s="52" t="s">
        <v>869</v>
      </c>
    </row>
    <row r="21" spans="1:8">
      <c r="A21" s="55" t="s">
        <v>11</v>
      </c>
      <c r="B21" s="44" t="s">
        <v>412</v>
      </c>
      <c r="C21" s="47" t="s">
        <v>457</v>
      </c>
      <c r="D21" s="47" t="s">
        <v>890</v>
      </c>
      <c r="E21" s="50">
        <v>12</v>
      </c>
      <c r="F21" s="52" t="s">
        <v>891</v>
      </c>
      <c r="G21" s="52" t="s">
        <v>892</v>
      </c>
      <c r="H21" s="52" t="s">
        <v>893</v>
      </c>
    </row>
    <row r="22" spans="1:8">
      <c r="A22" s="55" t="s">
        <v>16</v>
      </c>
      <c r="B22" s="44" t="s">
        <v>177</v>
      </c>
      <c r="C22" s="47" t="s">
        <v>914</v>
      </c>
      <c r="D22" s="47" t="s">
        <v>915</v>
      </c>
      <c r="E22" s="50">
        <v>68</v>
      </c>
      <c r="F22" s="52" t="s">
        <v>916</v>
      </c>
      <c r="G22" s="52" t="s">
        <v>917</v>
      </c>
      <c r="H22" s="52" t="s">
        <v>918</v>
      </c>
    </row>
    <row r="23" spans="1:8">
      <c r="A23" s="55" t="s">
        <v>16</v>
      </c>
      <c r="B23" s="44" t="s">
        <v>233</v>
      </c>
      <c r="C23" s="47" t="s">
        <v>914</v>
      </c>
      <c r="D23" s="47" t="s">
        <v>919</v>
      </c>
      <c r="E23" s="50">
        <v>70</v>
      </c>
      <c r="F23" s="52" t="s">
        <v>920</v>
      </c>
      <c r="G23" s="52" t="s">
        <v>921</v>
      </c>
      <c r="H23" s="52" t="s">
        <v>922</v>
      </c>
    </row>
    <row r="24" spans="1:8" ht="23.15">
      <c r="A24" s="55" t="s">
        <v>16</v>
      </c>
      <c r="B24" s="44" t="s">
        <v>278</v>
      </c>
      <c r="C24" s="47" t="s">
        <v>914</v>
      </c>
      <c r="D24" s="47" t="s">
        <v>923</v>
      </c>
      <c r="E24" s="50">
        <v>60</v>
      </c>
      <c r="F24" s="52" t="s">
        <v>924</v>
      </c>
      <c r="G24" s="52" t="s">
        <v>925</v>
      </c>
      <c r="H24" s="52" t="s">
        <v>926</v>
      </c>
    </row>
    <row r="25" spans="1:8" ht="23.15">
      <c r="A25" s="55" t="s">
        <v>16</v>
      </c>
      <c r="B25" s="44" t="s">
        <v>323</v>
      </c>
      <c r="C25" s="47" t="s">
        <v>914</v>
      </c>
      <c r="D25" s="47" t="s">
        <v>927</v>
      </c>
      <c r="E25" s="50">
        <v>60</v>
      </c>
      <c r="F25" s="52" t="s">
        <v>928</v>
      </c>
      <c r="G25" s="52" t="s">
        <v>929</v>
      </c>
      <c r="H25" s="52" t="s">
        <v>930</v>
      </c>
    </row>
    <row r="26" spans="1:8" ht="23.15">
      <c r="A26" s="55" t="s">
        <v>16</v>
      </c>
      <c r="B26" s="44" t="s">
        <v>367</v>
      </c>
      <c r="C26" s="47" t="s">
        <v>914</v>
      </c>
      <c r="D26" s="47" t="s">
        <v>931</v>
      </c>
      <c r="E26" s="50">
        <v>50</v>
      </c>
      <c r="F26" s="52" t="s">
        <v>932</v>
      </c>
      <c r="G26" s="52" t="s">
        <v>933</v>
      </c>
      <c r="H26" s="52" t="s">
        <v>934</v>
      </c>
    </row>
    <row r="27" spans="1:8" ht="23.15">
      <c r="A27" s="55" t="s">
        <v>16</v>
      </c>
      <c r="B27" s="44" t="s">
        <v>412</v>
      </c>
      <c r="C27" s="47" t="s">
        <v>914</v>
      </c>
      <c r="D27" s="47" t="s">
        <v>935</v>
      </c>
      <c r="E27" s="50">
        <v>50</v>
      </c>
      <c r="F27" s="52" t="s">
        <v>936</v>
      </c>
      <c r="G27" s="52" t="s">
        <v>937</v>
      </c>
      <c r="H27" s="52" t="s">
        <v>938</v>
      </c>
    </row>
    <row r="28" spans="1:8" ht="23.15">
      <c r="A28" s="55" t="s">
        <v>20</v>
      </c>
      <c r="B28" s="44" t="s">
        <v>367</v>
      </c>
      <c r="C28" s="47" t="s">
        <v>914</v>
      </c>
      <c r="D28" s="47" t="s">
        <v>964</v>
      </c>
      <c r="E28" s="50">
        <v>60</v>
      </c>
      <c r="F28" s="52" t="s">
        <v>965</v>
      </c>
      <c r="G28" s="52" t="s">
        <v>966</v>
      </c>
      <c r="H28" s="52" t="s">
        <v>967</v>
      </c>
    </row>
    <row r="29" spans="1:8" ht="23.15">
      <c r="A29" s="55" t="s">
        <v>20</v>
      </c>
      <c r="B29" s="44" t="s">
        <v>412</v>
      </c>
      <c r="C29" s="47" t="s">
        <v>914</v>
      </c>
      <c r="D29" s="47" t="s">
        <v>968</v>
      </c>
      <c r="E29" s="50">
        <v>55</v>
      </c>
      <c r="F29" s="52" t="s">
        <v>969</v>
      </c>
      <c r="G29" s="52" t="s">
        <v>970</v>
      </c>
      <c r="H29" s="52" t="s">
        <v>971</v>
      </c>
    </row>
    <row r="30" spans="1:8" ht="23.15">
      <c r="A30" s="55" t="s">
        <v>1006</v>
      </c>
      <c r="B30" s="44" t="s">
        <v>367</v>
      </c>
      <c r="C30" s="47" t="s">
        <v>914</v>
      </c>
      <c r="D30" s="47" t="s">
        <v>1007</v>
      </c>
      <c r="E30" s="50">
        <v>70</v>
      </c>
      <c r="F30" s="52" t="s">
        <v>1008</v>
      </c>
      <c r="G30" s="52" t="s">
        <v>1009</v>
      </c>
      <c r="H30" s="52" t="s">
        <v>1010</v>
      </c>
    </row>
    <row r="31" spans="1:8" ht="23.15">
      <c r="A31" s="55" t="s">
        <v>1006</v>
      </c>
      <c r="B31" s="44" t="s">
        <v>412</v>
      </c>
      <c r="C31" s="47" t="s">
        <v>914</v>
      </c>
      <c r="D31" s="47" t="s">
        <v>1011</v>
      </c>
      <c r="E31" s="50">
        <v>70</v>
      </c>
      <c r="F31" s="52" t="s">
        <v>1012</v>
      </c>
      <c r="G31" s="52" t="s">
        <v>1013</v>
      </c>
      <c r="H31" s="52" t="s">
        <v>1014</v>
      </c>
    </row>
    <row r="32" spans="1:8" ht="23.15">
      <c r="A32" s="55" t="s">
        <v>997</v>
      </c>
      <c r="B32" s="44" t="s">
        <v>278</v>
      </c>
      <c r="C32" s="47" t="s">
        <v>914</v>
      </c>
      <c r="D32" s="47" t="s">
        <v>998</v>
      </c>
      <c r="E32" s="50">
        <v>35</v>
      </c>
      <c r="F32" s="52" t="s">
        <v>999</v>
      </c>
      <c r="G32" s="52" t="s">
        <v>1000</v>
      </c>
      <c r="H32" s="52" t="s">
        <v>1001</v>
      </c>
    </row>
    <row r="33" spans="1:8" ht="23.15">
      <c r="A33" s="55" t="s">
        <v>997</v>
      </c>
      <c r="B33" s="44" t="s">
        <v>323</v>
      </c>
      <c r="C33" s="47" t="s">
        <v>914</v>
      </c>
      <c r="D33" s="47" t="s">
        <v>1002</v>
      </c>
      <c r="E33" s="50">
        <v>35</v>
      </c>
      <c r="F33" s="52" t="s">
        <v>1003</v>
      </c>
      <c r="G33" s="52" t="s">
        <v>1004</v>
      </c>
      <c r="H33" s="52" t="s">
        <v>1005</v>
      </c>
    </row>
    <row r="34" spans="1:8" ht="23.15">
      <c r="A34" s="55" t="s">
        <v>939</v>
      </c>
      <c r="B34" s="44" t="s">
        <v>177</v>
      </c>
      <c r="C34" s="47" t="s">
        <v>914</v>
      </c>
      <c r="D34" s="47" t="s">
        <v>940</v>
      </c>
      <c r="E34" s="50">
        <v>68</v>
      </c>
      <c r="F34" s="52" t="s">
        <v>941</v>
      </c>
      <c r="G34" s="52" t="s">
        <v>942</v>
      </c>
      <c r="H34" s="52" t="s">
        <v>943</v>
      </c>
    </row>
    <row r="35" spans="1:8" ht="23.15">
      <c r="A35" s="55" t="s">
        <v>939</v>
      </c>
      <c r="B35" s="44" t="s">
        <v>233</v>
      </c>
      <c r="C35" s="47" t="s">
        <v>914</v>
      </c>
      <c r="D35" s="47" t="s">
        <v>944</v>
      </c>
      <c r="E35" s="50">
        <v>70</v>
      </c>
      <c r="F35" s="52" t="s">
        <v>945</v>
      </c>
      <c r="G35" s="52" t="s">
        <v>946</v>
      </c>
      <c r="H35" s="52" t="s">
        <v>947</v>
      </c>
    </row>
    <row r="36" spans="1:8" ht="23.15">
      <c r="A36" s="55" t="s">
        <v>939</v>
      </c>
      <c r="B36" s="44" t="s">
        <v>278</v>
      </c>
      <c r="C36" s="47" t="s">
        <v>914</v>
      </c>
      <c r="D36" s="47" t="s">
        <v>948</v>
      </c>
      <c r="E36" s="50">
        <v>60</v>
      </c>
      <c r="F36" s="52" t="s">
        <v>949</v>
      </c>
      <c r="G36" s="52" t="s">
        <v>950</v>
      </c>
      <c r="H36" s="52" t="s">
        <v>951</v>
      </c>
    </row>
    <row r="37" spans="1:8">
      <c r="A37" s="55" t="s">
        <v>939</v>
      </c>
      <c r="B37" s="44" t="s">
        <v>323</v>
      </c>
      <c r="C37" s="47" t="s">
        <v>914</v>
      </c>
      <c r="D37" s="47" t="s">
        <v>952</v>
      </c>
      <c r="E37" s="50">
        <v>60</v>
      </c>
      <c r="F37" s="52" t="s">
        <v>953</v>
      </c>
      <c r="G37" s="52" t="s">
        <v>954</v>
      </c>
      <c r="H37" s="52" t="s">
        <v>955</v>
      </c>
    </row>
    <row r="38" spans="1:8">
      <c r="A38" s="55" t="s">
        <v>939</v>
      </c>
      <c r="B38" s="44" t="s">
        <v>367</v>
      </c>
      <c r="C38" s="47" t="s">
        <v>914</v>
      </c>
      <c r="D38" s="47" t="s">
        <v>956</v>
      </c>
      <c r="E38" s="50">
        <v>50</v>
      </c>
      <c r="F38" s="52" t="s">
        <v>957</v>
      </c>
      <c r="G38" s="52" t="s">
        <v>958</v>
      </c>
      <c r="H38" s="52" t="s">
        <v>959</v>
      </c>
    </row>
    <row r="39" spans="1:8" ht="23.15">
      <c r="A39" s="55" t="s">
        <v>939</v>
      </c>
      <c r="B39" s="44" t="s">
        <v>412</v>
      </c>
      <c r="C39" s="47" t="s">
        <v>914</v>
      </c>
      <c r="D39" s="47" t="s">
        <v>960</v>
      </c>
      <c r="E39" s="50">
        <v>50</v>
      </c>
      <c r="F39" s="52" t="s">
        <v>961</v>
      </c>
      <c r="G39" s="52" t="s">
        <v>962</v>
      </c>
      <c r="H39" s="52" t="s">
        <v>963</v>
      </c>
    </row>
    <row r="40" spans="1:8">
      <c r="A40" s="55" t="s">
        <v>972</v>
      </c>
      <c r="B40" s="44" t="s">
        <v>177</v>
      </c>
      <c r="C40" s="47" t="s">
        <v>914</v>
      </c>
      <c r="D40" s="47" t="s">
        <v>973</v>
      </c>
      <c r="E40" s="50">
        <v>102</v>
      </c>
      <c r="F40" s="52" t="s">
        <v>974</v>
      </c>
      <c r="G40" s="52" t="s">
        <v>975</v>
      </c>
      <c r="H40" s="52" t="s">
        <v>976</v>
      </c>
    </row>
    <row r="41" spans="1:8">
      <c r="A41" s="55" t="s">
        <v>972</v>
      </c>
      <c r="B41" s="44" t="s">
        <v>233</v>
      </c>
      <c r="C41" s="47" t="s">
        <v>914</v>
      </c>
      <c r="D41" s="47" t="s">
        <v>977</v>
      </c>
      <c r="E41" s="50">
        <v>102</v>
      </c>
      <c r="F41" s="52" t="s">
        <v>978</v>
      </c>
      <c r="G41" s="52" t="s">
        <v>979</v>
      </c>
      <c r="H41" s="52" t="s">
        <v>980</v>
      </c>
    </row>
    <row r="42" spans="1:8">
      <c r="A42" s="55" t="s">
        <v>972</v>
      </c>
      <c r="B42" s="44" t="s">
        <v>278</v>
      </c>
      <c r="C42" s="47" t="s">
        <v>914</v>
      </c>
      <c r="D42" s="47" t="s">
        <v>981</v>
      </c>
      <c r="E42" s="50">
        <v>105</v>
      </c>
      <c r="F42" s="52" t="s">
        <v>982</v>
      </c>
      <c r="G42" s="52" t="s">
        <v>983</v>
      </c>
      <c r="H42" s="52" t="s">
        <v>984</v>
      </c>
    </row>
    <row r="43" spans="1:8" ht="23.15">
      <c r="A43" s="55" t="s">
        <v>972</v>
      </c>
      <c r="B43" s="44" t="s">
        <v>323</v>
      </c>
      <c r="C43" s="47" t="s">
        <v>914</v>
      </c>
      <c r="D43" s="47" t="s">
        <v>985</v>
      </c>
      <c r="E43" s="50">
        <v>105</v>
      </c>
      <c r="F43" s="52" t="s">
        <v>986</v>
      </c>
      <c r="G43" s="52" t="s">
        <v>987</v>
      </c>
      <c r="H43" s="52" t="s">
        <v>988</v>
      </c>
    </row>
    <row r="44" spans="1:8" ht="23.15">
      <c r="A44" s="55" t="s">
        <v>972</v>
      </c>
      <c r="B44" s="44" t="s">
        <v>367</v>
      </c>
      <c r="C44" s="47" t="s">
        <v>914</v>
      </c>
      <c r="D44" s="47" t="s">
        <v>989</v>
      </c>
      <c r="E44" s="50">
        <v>90</v>
      </c>
      <c r="F44" s="52" t="s">
        <v>990</v>
      </c>
      <c r="G44" s="52" t="s">
        <v>991</v>
      </c>
      <c r="H44" s="52" t="s">
        <v>992</v>
      </c>
    </row>
    <row r="45" spans="1:8" ht="23.15">
      <c r="A45" s="55" t="s">
        <v>972</v>
      </c>
      <c r="B45" s="44" t="s">
        <v>412</v>
      </c>
      <c r="C45" s="47" t="s">
        <v>914</v>
      </c>
      <c r="D45" s="47" t="s">
        <v>993</v>
      </c>
      <c r="E45" s="50">
        <v>90</v>
      </c>
      <c r="F45" s="52" t="s">
        <v>994</v>
      </c>
      <c r="G45" s="52" t="s">
        <v>995</v>
      </c>
      <c r="H45" s="52" t="s">
        <v>996</v>
      </c>
    </row>
    <row r="46" spans="1:8" ht="23.15">
      <c r="A46" s="55" t="s">
        <v>24</v>
      </c>
      <c r="B46" s="44" t="s">
        <v>177</v>
      </c>
      <c r="C46" s="47" t="s">
        <v>914</v>
      </c>
      <c r="D46" s="47" t="s">
        <v>1015</v>
      </c>
      <c r="E46" s="50">
        <v>34</v>
      </c>
      <c r="F46" s="52" t="s">
        <v>1016</v>
      </c>
      <c r="G46" s="52" t="s">
        <v>1017</v>
      </c>
      <c r="H46" s="52" t="s">
        <v>1018</v>
      </c>
    </row>
    <row r="47" spans="1:8" ht="23.15">
      <c r="A47" s="55" t="s">
        <v>24</v>
      </c>
      <c r="B47" s="44" t="s">
        <v>233</v>
      </c>
      <c r="C47" s="47" t="s">
        <v>914</v>
      </c>
      <c r="D47" s="47" t="s">
        <v>1019</v>
      </c>
      <c r="E47" s="50">
        <v>35</v>
      </c>
      <c r="F47" s="52" t="s">
        <v>1020</v>
      </c>
      <c r="G47" s="52" t="s">
        <v>1021</v>
      </c>
      <c r="H47" s="52" t="s">
        <v>1022</v>
      </c>
    </row>
    <row r="48" spans="1:8" ht="23.15">
      <c r="A48" s="55" t="s">
        <v>24</v>
      </c>
      <c r="B48" s="44" t="s">
        <v>278</v>
      </c>
      <c r="C48" s="47" t="s">
        <v>914</v>
      </c>
      <c r="D48" s="47" t="s">
        <v>1023</v>
      </c>
      <c r="E48" s="50">
        <v>35</v>
      </c>
      <c r="F48" s="52" t="s">
        <v>1024</v>
      </c>
      <c r="G48" s="52" t="s">
        <v>1025</v>
      </c>
      <c r="H48" s="52" t="s">
        <v>1026</v>
      </c>
    </row>
    <row r="49" spans="1:8" ht="23.15">
      <c r="A49" s="55" t="s">
        <v>24</v>
      </c>
      <c r="B49" s="44" t="s">
        <v>323</v>
      </c>
      <c r="C49" s="47" t="s">
        <v>914</v>
      </c>
      <c r="D49" s="47" t="s">
        <v>1027</v>
      </c>
      <c r="E49" s="50">
        <v>35</v>
      </c>
      <c r="F49" s="52" t="s">
        <v>1028</v>
      </c>
      <c r="G49" s="52" t="s">
        <v>1029</v>
      </c>
      <c r="H49" s="52" t="s">
        <v>1030</v>
      </c>
    </row>
    <row r="50" spans="1:8" ht="23.15">
      <c r="A50" s="55" t="s">
        <v>24</v>
      </c>
      <c r="B50" s="44" t="s">
        <v>367</v>
      </c>
      <c r="C50" s="47" t="s">
        <v>914</v>
      </c>
      <c r="D50" s="47" t="s">
        <v>1031</v>
      </c>
      <c r="E50" s="50">
        <v>35</v>
      </c>
      <c r="F50" s="52" t="s">
        <v>1032</v>
      </c>
      <c r="G50" s="52" t="s">
        <v>1033</v>
      </c>
      <c r="H50" s="52" t="s">
        <v>1034</v>
      </c>
    </row>
    <row r="51" spans="1:8" ht="23.15">
      <c r="A51" s="55" t="s">
        <v>24</v>
      </c>
      <c r="B51" s="44" t="s">
        <v>412</v>
      </c>
      <c r="C51" s="47" t="s">
        <v>914</v>
      </c>
      <c r="D51" s="47" t="s">
        <v>1035</v>
      </c>
      <c r="E51" s="50">
        <v>35</v>
      </c>
      <c r="F51" s="52" t="s">
        <v>1036</v>
      </c>
      <c r="G51" s="52" t="s">
        <v>1037</v>
      </c>
      <c r="H51" s="52" t="s">
        <v>1038</v>
      </c>
    </row>
    <row r="52" spans="1:8">
      <c r="A52" s="55" t="s">
        <v>3</v>
      </c>
      <c r="B52" s="44" t="s">
        <v>177</v>
      </c>
      <c r="C52" s="47" t="s">
        <v>183</v>
      </c>
      <c r="D52" s="47" t="s">
        <v>184</v>
      </c>
      <c r="E52" s="50">
        <v>8</v>
      </c>
      <c r="F52" s="52" t="s">
        <v>185</v>
      </c>
      <c r="G52" s="52" t="s">
        <v>186</v>
      </c>
      <c r="H52" s="52" t="s">
        <v>187</v>
      </c>
    </row>
    <row r="53" spans="1:8">
      <c r="A53" s="55" t="s">
        <v>3</v>
      </c>
      <c r="B53" s="44" t="s">
        <v>233</v>
      </c>
      <c r="C53" s="47" t="s">
        <v>183</v>
      </c>
      <c r="D53" s="47" t="s">
        <v>238</v>
      </c>
      <c r="E53" s="50">
        <v>10</v>
      </c>
      <c r="F53" s="52" t="s">
        <v>239</v>
      </c>
      <c r="G53" s="52" t="s">
        <v>240</v>
      </c>
      <c r="H53" s="52" t="s">
        <v>241</v>
      </c>
    </row>
    <row r="54" spans="1:8">
      <c r="A54" s="55" t="s">
        <v>3</v>
      </c>
      <c r="B54" s="44" t="s">
        <v>278</v>
      </c>
      <c r="C54" s="47" t="s">
        <v>183</v>
      </c>
      <c r="D54" s="47" t="s">
        <v>283</v>
      </c>
      <c r="E54" s="50">
        <v>6</v>
      </c>
      <c r="F54" s="52" t="s">
        <v>284</v>
      </c>
      <c r="G54" s="52" t="s">
        <v>285</v>
      </c>
      <c r="H54" s="52" t="s">
        <v>286</v>
      </c>
    </row>
    <row r="55" spans="1:8">
      <c r="A55" s="55" t="s">
        <v>3</v>
      </c>
      <c r="B55" s="44" t="s">
        <v>323</v>
      </c>
      <c r="C55" s="47" t="s">
        <v>183</v>
      </c>
      <c r="D55" s="47" t="s">
        <v>327</v>
      </c>
      <c r="E55" s="50">
        <v>8</v>
      </c>
      <c r="F55" s="52" t="s">
        <v>328</v>
      </c>
      <c r="G55" s="52" t="s">
        <v>329</v>
      </c>
      <c r="H55" s="52" t="s">
        <v>330</v>
      </c>
    </row>
    <row r="56" spans="1:8">
      <c r="A56" s="55" t="s">
        <v>3</v>
      </c>
      <c r="B56" s="44" t="s">
        <v>367</v>
      </c>
      <c r="C56" s="47" t="s">
        <v>183</v>
      </c>
      <c r="D56" s="47" t="s">
        <v>372</v>
      </c>
      <c r="E56" s="50">
        <v>10</v>
      </c>
      <c r="F56" s="52" t="s">
        <v>373</v>
      </c>
      <c r="G56" s="52" t="s">
        <v>374</v>
      </c>
      <c r="H56" s="52" t="s">
        <v>375</v>
      </c>
    </row>
    <row r="57" spans="1:8">
      <c r="A57" s="55" t="s">
        <v>3</v>
      </c>
      <c r="B57" s="44" t="s">
        <v>412</v>
      </c>
      <c r="C57" s="47" t="s">
        <v>183</v>
      </c>
      <c r="D57" s="47" t="s">
        <v>417</v>
      </c>
      <c r="E57" s="50">
        <v>12</v>
      </c>
      <c r="F57" s="52" t="s">
        <v>418</v>
      </c>
      <c r="G57" s="52" t="s">
        <v>419</v>
      </c>
      <c r="H57" s="52" t="s">
        <v>420</v>
      </c>
    </row>
    <row r="58" spans="1:8">
      <c r="A58" s="55" t="s">
        <v>7</v>
      </c>
      <c r="B58" s="44" t="s">
        <v>177</v>
      </c>
      <c r="C58" s="47" t="s">
        <v>183</v>
      </c>
      <c r="D58" s="47" t="s">
        <v>562</v>
      </c>
      <c r="E58" s="50">
        <v>10</v>
      </c>
      <c r="F58" s="52" t="s">
        <v>563</v>
      </c>
      <c r="G58" s="52" t="s">
        <v>564</v>
      </c>
      <c r="H58" s="52" t="s">
        <v>565</v>
      </c>
    </row>
    <row r="59" spans="1:8">
      <c r="A59" s="55" t="s">
        <v>7</v>
      </c>
      <c r="B59" s="44" t="s">
        <v>233</v>
      </c>
      <c r="C59" s="47" t="s">
        <v>183</v>
      </c>
      <c r="D59" s="47" t="s">
        <v>606</v>
      </c>
      <c r="E59" s="50">
        <v>16</v>
      </c>
      <c r="F59" s="52" t="s">
        <v>607</v>
      </c>
      <c r="G59" s="52" t="s">
        <v>608</v>
      </c>
      <c r="H59" s="52" t="s">
        <v>609</v>
      </c>
    </row>
    <row r="60" spans="1:8">
      <c r="A60" s="55" t="s">
        <v>7</v>
      </c>
      <c r="B60" s="44" t="s">
        <v>278</v>
      </c>
      <c r="C60" s="47" t="s">
        <v>183</v>
      </c>
      <c r="D60" s="47" t="s">
        <v>650</v>
      </c>
      <c r="E60" s="50">
        <v>12</v>
      </c>
      <c r="F60" s="52" t="s">
        <v>651</v>
      </c>
      <c r="G60" s="52" t="s">
        <v>652</v>
      </c>
      <c r="H60" s="52" t="s">
        <v>653</v>
      </c>
    </row>
    <row r="61" spans="1:8">
      <c r="A61" s="55" t="s">
        <v>7</v>
      </c>
      <c r="B61" s="44" t="s">
        <v>323</v>
      </c>
      <c r="C61" s="47" t="s">
        <v>183</v>
      </c>
      <c r="D61" s="47" t="s">
        <v>693</v>
      </c>
      <c r="E61" s="50">
        <v>12</v>
      </c>
      <c r="F61" s="52" t="s">
        <v>694</v>
      </c>
      <c r="G61" s="52" t="s">
        <v>695</v>
      </c>
      <c r="H61" s="52" t="s">
        <v>696</v>
      </c>
    </row>
    <row r="62" spans="1:8">
      <c r="A62" s="55" t="s">
        <v>7</v>
      </c>
      <c r="B62" s="44" t="s">
        <v>367</v>
      </c>
      <c r="C62" s="47" t="s">
        <v>183</v>
      </c>
      <c r="D62" s="47" t="s">
        <v>736</v>
      </c>
      <c r="E62" s="50">
        <v>10</v>
      </c>
      <c r="F62" s="52" t="s">
        <v>737</v>
      </c>
      <c r="G62" s="52" t="s">
        <v>738</v>
      </c>
      <c r="H62" s="52" t="s">
        <v>739</v>
      </c>
    </row>
    <row r="63" spans="1:8">
      <c r="A63" s="55" t="s">
        <v>7</v>
      </c>
      <c r="B63" s="44" t="s">
        <v>412</v>
      </c>
      <c r="C63" s="47" t="s">
        <v>183</v>
      </c>
      <c r="D63" s="47" t="s">
        <v>779</v>
      </c>
      <c r="E63" s="50">
        <v>16</v>
      </c>
      <c r="F63" s="52" t="s">
        <v>780</v>
      </c>
      <c r="G63" s="52" t="s">
        <v>781</v>
      </c>
      <c r="H63" s="52" t="s">
        <v>782</v>
      </c>
    </row>
    <row r="64" spans="1:8">
      <c r="A64" s="55" t="s">
        <v>3</v>
      </c>
      <c r="B64" s="44" t="s">
        <v>177</v>
      </c>
      <c r="C64" s="47" t="s">
        <v>188</v>
      </c>
      <c r="D64" s="47" t="s">
        <v>189</v>
      </c>
      <c r="E64" s="50">
        <v>10</v>
      </c>
      <c r="F64" s="52" t="s">
        <v>190</v>
      </c>
      <c r="G64" s="52" t="s">
        <v>191</v>
      </c>
      <c r="H64" s="52" t="s">
        <v>192</v>
      </c>
    </row>
    <row r="65" spans="1:8">
      <c r="A65" s="55" t="s">
        <v>3</v>
      </c>
      <c r="B65" s="44" t="s">
        <v>233</v>
      </c>
      <c r="C65" s="47" t="s">
        <v>188</v>
      </c>
      <c r="D65" s="47" t="s">
        <v>242</v>
      </c>
      <c r="E65" s="50">
        <v>12</v>
      </c>
      <c r="F65" s="52" t="s">
        <v>243</v>
      </c>
      <c r="G65" s="52" t="s">
        <v>244</v>
      </c>
      <c r="H65" s="52" t="s">
        <v>245</v>
      </c>
    </row>
    <row r="66" spans="1:8">
      <c r="A66" s="55" t="s">
        <v>3</v>
      </c>
      <c r="B66" s="44" t="s">
        <v>278</v>
      </c>
      <c r="C66" s="47" t="s">
        <v>188</v>
      </c>
      <c r="D66" s="47" t="s">
        <v>287</v>
      </c>
      <c r="E66" s="50">
        <v>10</v>
      </c>
      <c r="F66" s="52" t="s">
        <v>288</v>
      </c>
      <c r="G66" s="52" t="s">
        <v>289</v>
      </c>
      <c r="H66" s="52" t="s">
        <v>290</v>
      </c>
    </row>
    <row r="67" spans="1:8">
      <c r="A67" s="55" t="s">
        <v>3</v>
      </c>
      <c r="B67" s="44" t="s">
        <v>323</v>
      </c>
      <c r="C67" s="47" t="s">
        <v>188</v>
      </c>
      <c r="D67" s="47" t="s">
        <v>331</v>
      </c>
      <c r="E67" s="50">
        <v>12</v>
      </c>
      <c r="F67" s="52" t="s">
        <v>332</v>
      </c>
      <c r="G67" s="52" t="s">
        <v>333</v>
      </c>
      <c r="H67" s="52" t="s">
        <v>334</v>
      </c>
    </row>
    <row r="68" spans="1:8">
      <c r="A68" s="55" t="s">
        <v>3</v>
      </c>
      <c r="B68" s="44" t="s">
        <v>367</v>
      </c>
      <c r="C68" s="47" t="s">
        <v>188</v>
      </c>
      <c r="D68" s="47" t="s">
        <v>376</v>
      </c>
      <c r="E68" s="50">
        <v>10</v>
      </c>
      <c r="F68" s="52" t="s">
        <v>377</v>
      </c>
      <c r="G68" s="52" t="s">
        <v>378</v>
      </c>
      <c r="H68" s="52" t="s">
        <v>379</v>
      </c>
    </row>
    <row r="69" spans="1:8">
      <c r="A69" s="55" t="s">
        <v>3</v>
      </c>
      <c r="B69" s="44" t="s">
        <v>412</v>
      </c>
      <c r="C69" s="47" t="s">
        <v>188</v>
      </c>
      <c r="D69" s="47" t="s">
        <v>421</v>
      </c>
      <c r="E69" s="50">
        <v>10</v>
      </c>
      <c r="F69" s="52" t="s">
        <v>422</v>
      </c>
      <c r="G69" s="52" t="s">
        <v>423</v>
      </c>
      <c r="H69" s="52" t="s">
        <v>424</v>
      </c>
    </row>
    <row r="70" spans="1:8">
      <c r="A70" s="55" t="s">
        <v>7</v>
      </c>
      <c r="B70" s="44" t="s">
        <v>177</v>
      </c>
      <c r="C70" s="47" t="s">
        <v>188</v>
      </c>
      <c r="D70" s="47" t="s">
        <v>566</v>
      </c>
      <c r="E70" s="50">
        <v>12</v>
      </c>
      <c r="F70" s="52" t="s">
        <v>567</v>
      </c>
      <c r="G70" s="52" t="s">
        <v>568</v>
      </c>
      <c r="H70" s="52" t="s">
        <v>569</v>
      </c>
    </row>
    <row r="71" spans="1:8">
      <c r="A71" s="55" t="s">
        <v>7</v>
      </c>
      <c r="B71" s="44" t="s">
        <v>233</v>
      </c>
      <c r="C71" s="47" t="s">
        <v>188</v>
      </c>
      <c r="D71" s="47" t="s">
        <v>610</v>
      </c>
      <c r="E71" s="50">
        <v>10</v>
      </c>
      <c r="F71" s="52" t="s">
        <v>611</v>
      </c>
      <c r="G71" s="52" t="s">
        <v>612</v>
      </c>
      <c r="H71" s="52" t="s">
        <v>613</v>
      </c>
    </row>
    <row r="72" spans="1:8">
      <c r="A72" s="55" t="s">
        <v>7</v>
      </c>
      <c r="B72" s="44" t="s">
        <v>278</v>
      </c>
      <c r="C72" s="47" t="s">
        <v>188</v>
      </c>
      <c r="D72" s="47" t="s">
        <v>654</v>
      </c>
      <c r="E72" s="50">
        <v>10</v>
      </c>
      <c r="F72" s="52" t="s">
        <v>655</v>
      </c>
      <c r="G72" s="52" t="s">
        <v>656</v>
      </c>
      <c r="H72" s="52" t="s">
        <v>657</v>
      </c>
    </row>
    <row r="73" spans="1:8">
      <c r="A73" s="55" t="s">
        <v>7</v>
      </c>
      <c r="B73" s="44" t="s">
        <v>323</v>
      </c>
      <c r="C73" s="47" t="s">
        <v>188</v>
      </c>
      <c r="D73" s="47" t="s">
        <v>697</v>
      </c>
      <c r="E73" s="50">
        <v>8</v>
      </c>
      <c r="F73" s="52" t="s">
        <v>698</v>
      </c>
      <c r="G73" s="52" t="s">
        <v>699</v>
      </c>
      <c r="H73" s="52" t="s">
        <v>700</v>
      </c>
    </row>
    <row r="74" spans="1:8">
      <c r="A74" s="55" t="s">
        <v>7</v>
      </c>
      <c r="B74" s="44" t="s">
        <v>367</v>
      </c>
      <c r="C74" s="47" t="s">
        <v>188</v>
      </c>
      <c r="D74" s="47" t="s">
        <v>709</v>
      </c>
      <c r="E74" s="50">
        <v>14</v>
      </c>
      <c r="F74" s="52" t="s">
        <v>740</v>
      </c>
      <c r="G74" s="52" t="s">
        <v>741</v>
      </c>
      <c r="H74" s="52" t="s">
        <v>742</v>
      </c>
    </row>
    <row r="75" spans="1:8">
      <c r="A75" s="55" t="s">
        <v>7</v>
      </c>
      <c r="B75" s="44" t="s">
        <v>412</v>
      </c>
      <c r="C75" s="47" t="s">
        <v>188</v>
      </c>
      <c r="D75" s="47" t="s">
        <v>783</v>
      </c>
      <c r="E75" s="50">
        <v>8</v>
      </c>
      <c r="F75" s="52" t="s">
        <v>784</v>
      </c>
      <c r="G75" s="52" t="s">
        <v>785</v>
      </c>
      <c r="H75" s="52" t="s">
        <v>786</v>
      </c>
    </row>
    <row r="76" spans="1:8">
      <c r="A76" s="55" t="s">
        <v>9</v>
      </c>
      <c r="B76" s="44" t="s">
        <v>278</v>
      </c>
      <c r="C76" s="47" t="s">
        <v>462</v>
      </c>
      <c r="D76" s="47" t="s">
        <v>463</v>
      </c>
      <c r="E76" s="50">
        <v>14</v>
      </c>
      <c r="F76" s="52" t="s">
        <v>464</v>
      </c>
      <c r="G76" s="52" t="s">
        <v>465</v>
      </c>
      <c r="H76" s="52" t="s">
        <v>466</v>
      </c>
    </row>
    <row r="77" spans="1:8">
      <c r="A77" s="55" t="s">
        <v>9</v>
      </c>
      <c r="B77" s="44" t="s">
        <v>323</v>
      </c>
      <c r="C77" s="47" t="s">
        <v>462</v>
      </c>
      <c r="D77" s="47" t="s">
        <v>490</v>
      </c>
      <c r="E77" s="50">
        <v>14</v>
      </c>
      <c r="F77" s="52" t="s">
        <v>491</v>
      </c>
      <c r="G77" s="52" t="s">
        <v>492</v>
      </c>
      <c r="H77" s="52" t="s">
        <v>493</v>
      </c>
    </row>
    <row r="78" spans="1:8">
      <c r="A78" s="55" t="s">
        <v>9</v>
      </c>
      <c r="B78" s="44" t="s">
        <v>367</v>
      </c>
      <c r="C78" s="47" t="s">
        <v>462</v>
      </c>
      <c r="D78" s="47" t="s">
        <v>514</v>
      </c>
      <c r="E78" s="50">
        <v>14</v>
      </c>
      <c r="F78" s="52" t="s">
        <v>515</v>
      </c>
      <c r="G78" s="52" t="s">
        <v>516</v>
      </c>
      <c r="H78" s="52" t="s">
        <v>517</v>
      </c>
    </row>
    <row r="79" spans="1:8">
      <c r="A79" s="55" t="s">
        <v>9</v>
      </c>
      <c r="B79" s="44" t="s">
        <v>412</v>
      </c>
      <c r="C79" s="47" t="s">
        <v>462</v>
      </c>
      <c r="D79" s="47" t="s">
        <v>538</v>
      </c>
      <c r="E79" s="50">
        <v>18</v>
      </c>
      <c r="F79" s="52" t="s">
        <v>539</v>
      </c>
      <c r="G79" s="52" t="s">
        <v>540</v>
      </c>
      <c r="H79" s="52" t="s">
        <v>541</v>
      </c>
    </row>
    <row r="80" spans="1:8">
      <c r="A80" s="55" t="s">
        <v>11</v>
      </c>
      <c r="B80" s="44" t="s">
        <v>278</v>
      </c>
      <c r="C80" s="47" t="s">
        <v>462</v>
      </c>
      <c r="D80" s="47" t="s">
        <v>820</v>
      </c>
      <c r="E80" s="50">
        <v>10</v>
      </c>
      <c r="F80" s="52" t="s">
        <v>821</v>
      </c>
      <c r="G80" s="52" t="s">
        <v>822</v>
      </c>
      <c r="H80" s="52" t="s">
        <v>823</v>
      </c>
    </row>
    <row r="81" spans="1:8">
      <c r="A81" s="55" t="s">
        <v>11</v>
      </c>
      <c r="B81" s="44" t="s">
        <v>323</v>
      </c>
      <c r="C81" s="47" t="s">
        <v>462</v>
      </c>
      <c r="D81" s="47" t="s">
        <v>846</v>
      </c>
      <c r="E81" s="50">
        <v>12</v>
      </c>
      <c r="F81" s="52" t="s">
        <v>847</v>
      </c>
      <c r="G81" s="52" t="s">
        <v>848</v>
      </c>
      <c r="H81" s="52" t="s">
        <v>849</v>
      </c>
    </row>
    <row r="82" spans="1:8" ht="23.15">
      <c r="A82" s="55" t="s">
        <v>11</v>
      </c>
      <c r="B82" s="44" t="s">
        <v>367</v>
      </c>
      <c r="C82" s="47" t="s">
        <v>462</v>
      </c>
      <c r="D82" s="47" t="s">
        <v>870</v>
      </c>
      <c r="E82" s="50">
        <v>10</v>
      </c>
      <c r="F82" s="52" t="s">
        <v>871</v>
      </c>
      <c r="G82" s="52" t="s">
        <v>872</v>
      </c>
      <c r="H82" s="52" t="s">
        <v>873</v>
      </c>
    </row>
    <row r="83" spans="1:8" ht="23.15">
      <c r="A83" s="55" t="s">
        <v>11</v>
      </c>
      <c r="B83" s="44" t="s">
        <v>412</v>
      </c>
      <c r="C83" s="47" t="s">
        <v>462</v>
      </c>
      <c r="D83" s="47" t="s">
        <v>894</v>
      </c>
      <c r="E83" s="50">
        <v>14</v>
      </c>
      <c r="F83" s="52" t="s">
        <v>895</v>
      </c>
      <c r="G83" s="52" t="s">
        <v>896</v>
      </c>
      <c r="H83" s="52" t="s">
        <v>897</v>
      </c>
    </row>
    <row r="84" spans="1:8">
      <c r="A84" s="55" t="s">
        <v>3</v>
      </c>
      <c r="B84" s="44" t="s">
        <v>177</v>
      </c>
      <c r="C84" s="47" t="s">
        <v>193</v>
      </c>
      <c r="D84" s="47" t="s">
        <v>194</v>
      </c>
      <c r="E84" s="50">
        <v>8</v>
      </c>
      <c r="F84" s="52" t="s">
        <v>195</v>
      </c>
      <c r="G84" s="52" t="s">
        <v>196</v>
      </c>
      <c r="H84" s="52" t="s">
        <v>197</v>
      </c>
    </row>
    <row r="85" spans="1:8">
      <c r="A85" s="55" t="s">
        <v>3</v>
      </c>
      <c r="B85" s="44" t="s">
        <v>233</v>
      </c>
      <c r="C85" s="47" t="s">
        <v>193</v>
      </c>
      <c r="D85" s="47" t="s">
        <v>246</v>
      </c>
      <c r="E85" s="50">
        <v>8</v>
      </c>
      <c r="F85" s="52" t="s">
        <v>247</v>
      </c>
      <c r="G85" s="52" t="s">
        <v>248</v>
      </c>
      <c r="H85" s="52" t="s">
        <v>249</v>
      </c>
    </row>
    <row r="86" spans="1:8">
      <c r="A86" s="55" t="s">
        <v>3</v>
      </c>
      <c r="B86" s="44" t="s">
        <v>278</v>
      </c>
      <c r="C86" s="47" t="s">
        <v>193</v>
      </c>
      <c r="D86" s="47" t="s">
        <v>291</v>
      </c>
      <c r="E86" s="50">
        <v>6</v>
      </c>
      <c r="F86" s="52" t="s">
        <v>292</v>
      </c>
      <c r="G86" s="52" t="s">
        <v>293</v>
      </c>
      <c r="H86" s="52" t="s">
        <v>294</v>
      </c>
    </row>
    <row r="87" spans="1:8">
      <c r="A87" s="55" t="s">
        <v>3</v>
      </c>
      <c r="B87" s="44" t="s">
        <v>323</v>
      </c>
      <c r="C87" s="47" t="s">
        <v>193</v>
      </c>
      <c r="D87" s="47" t="s">
        <v>335</v>
      </c>
      <c r="E87" s="50">
        <v>10</v>
      </c>
      <c r="F87" s="52" t="s">
        <v>336</v>
      </c>
      <c r="G87" s="52" t="s">
        <v>337</v>
      </c>
      <c r="H87" s="52" t="s">
        <v>338</v>
      </c>
    </row>
    <row r="88" spans="1:8">
      <c r="A88" s="55" t="s">
        <v>3</v>
      </c>
      <c r="B88" s="44" t="s">
        <v>367</v>
      </c>
      <c r="C88" s="47" t="s">
        <v>193</v>
      </c>
      <c r="D88" s="47" t="s">
        <v>380</v>
      </c>
      <c r="E88" s="50">
        <v>6</v>
      </c>
      <c r="F88" s="52" t="s">
        <v>381</v>
      </c>
      <c r="G88" s="52" t="s">
        <v>382</v>
      </c>
      <c r="H88" s="52" t="s">
        <v>383</v>
      </c>
    </row>
    <row r="89" spans="1:8">
      <c r="A89" s="55" t="s">
        <v>3</v>
      </c>
      <c r="B89" s="44" t="s">
        <v>412</v>
      </c>
      <c r="C89" s="47" t="s">
        <v>193</v>
      </c>
      <c r="D89" s="47" t="s">
        <v>425</v>
      </c>
      <c r="E89" s="50">
        <v>6</v>
      </c>
      <c r="F89" s="52" t="s">
        <v>426</v>
      </c>
      <c r="G89" s="52" t="s">
        <v>427</v>
      </c>
      <c r="H89" s="52" t="s">
        <v>428</v>
      </c>
    </row>
    <row r="90" spans="1:8">
      <c r="A90" s="55" t="s">
        <v>7</v>
      </c>
      <c r="B90" s="44" t="s">
        <v>177</v>
      </c>
      <c r="C90" s="47" t="s">
        <v>193</v>
      </c>
      <c r="D90" s="47" t="s">
        <v>570</v>
      </c>
      <c r="E90" s="50">
        <v>12</v>
      </c>
      <c r="F90" s="52" t="s">
        <v>571</v>
      </c>
      <c r="G90" s="52" t="s">
        <v>572</v>
      </c>
      <c r="H90" s="52" t="s">
        <v>573</v>
      </c>
    </row>
    <row r="91" spans="1:8">
      <c r="A91" s="55" t="s">
        <v>7</v>
      </c>
      <c r="B91" s="44" t="s">
        <v>233</v>
      </c>
      <c r="C91" s="47" t="s">
        <v>193</v>
      </c>
      <c r="D91" s="47" t="s">
        <v>614</v>
      </c>
      <c r="E91" s="50">
        <v>10</v>
      </c>
      <c r="F91" s="52" t="s">
        <v>615</v>
      </c>
      <c r="G91" s="52" t="s">
        <v>616</v>
      </c>
      <c r="H91" s="52" t="s">
        <v>617</v>
      </c>
    </row>
    <row r="92" spans="1:8">
      <c r="A92" s="55" t="s">
        <v>7</v>
      </c>
      <c r="B92" s="44" t="s">
        <v>278</v>
      </c>
      <c r="C92" s="47" t="s">
        <v>193</v>
      </c>
      <c r="D92" s="47" t="s">
        <v>658</v>
      </c>
      <c r="E92" s="50">
        <v>10</v>
      </c>
      <c r="F92" s="52" t="s">
        <v>659</v>
      </c>
      <c r="G92" s="52" t="s">
        <v>660</v>
      </c>
      <c r="H92" s="52" t="s">
        <v>661</v>
      </c>
    </row>
    <row r="93" spans="1:8">
      <c r="A93" s="55" t="s">
        <v>7</v>
      </c>
      <c r="B93" s="44" t="s">
        <v>323</v>
      </c>
      <c r="C93" s="47" t="s">
        <v>193</v>
      </c>
      <c r="D93" s="47" t="s">
        <v>701</v>
      </c>
      <c r="E93" s="50">
        <v>10</v>
      </c>
      <c r="F93" s="52" t="s">
        <v>702</v>
      </c>
      <c r="G93" s="52" t="s">
        <v>703</v>
      </c>
      <c r="H93" s="52" t="s">
        <v>704</v>
      </c>
    </row>
    <row r="94" spans="1:8">
      <c r="A94" s="55" t="s">
        <v>7</v>
      </c>
      <c r="B94" s="44" t="s">
        <v>367</v>
      </c>
      <c r="C94" s="47" t="s">
        <v>193</v>
      </c>
      <c r="D94" s="47" t="s">
        <v>743</v>
      </c>
      <c r="E94" s="50">
        <v>8</v>
      </c>
      <c r="F94" s="52" t="s">
        <v>744</v>
      </c>
      <c r="G94" s="52" t="s">
        <v>745</v>
      </c>
      <c r="H94" s="52" t="s">
        <v>746</v>
      </c>
    </row>
    <row r="95" spans="1:8">
      <c r="A95" s="55" t="s">
        <v>7</v>
      </c>
      <c r="B95" s="44" t="s">
        <v>412</v>
      </c>
      <c r="C95" s="47" t="s">
        <v>193</v>
      </c>
      <c r="D95" s="47" t="s">
        <v>787</v>
      </c>
      <c r="E95" s="50">
        <v>8</v>
      </c>
      <c r="F95" s="52" t="s">
        <v>788</v>
      </c>
      <c r="G95" s="52" t="s">
        <v>789</v>
      </c>
      <c r="H95" s="52" t="s">
        <v>790</v>
      </c>
    </row>
    <row r="96" spans="1:8">
      <c r="A96" s="55" t="s">
        <v>3</v>
      </c>
      <c r="B96" s="44" t="s">
        <v>177</v>
      </c>
      <c r="C96" s="47" t="s">
        <v>198</v>
      </c>
      <c r="D96" s="47" t="s">
        <v>199</v>
      </c>
      <c r="E96" s="50">
        <v>8</v>
      </c>
      <c r="F96" s="52" t="s">
        <v>200</v>
      </c>
      <c r="G96" s="52" t="s">
        <v>201</v>
      </c>
      <c r="H96" s="52" t="s">
        <v>202</v>
      </c>
    </row>
    <row r="97" spans="1:8">
      <c r="A97" s="55" t="s">
        <v>3</v>
      </c>
      <c r="B97" s="44" t="s">
        <v>233</v>
      </c>
      <c r="C97" s="47" t="s">
        <v>198</v>
      </c>
      <c r="D97" s="47" t="s">
        <v>250</v>
      </c>
      <c r="E97" s="50">
        <v>10</v>
      </c>
      <c r="F97" s="52" t="s">
        <v>251</v>
      </c>
      <c r="G97" s="52" t="s">
        <v>252</v>
      </c>
      <c r="H97" s="52" t="s">
        <v>253</v>
      </c>
    </row>
    <row r="98" spans="1:8">
      <c r="A98" s="55" t="s">
        <v>3</v>
      </c>
      <c r="B98" s="44" t="s">
        <v>278</v>
      </c>
      <c r="C98" s="47" t="s">
        <v>198</v>
      </c>
      <c r="D98" s="47" t="s">
        <v>295</v>
      </c>
      <c r="E98" s="50">
        <v>12</v>
      </c>
      <c r="F98" s="52" t="s">
        <v>296</v>
      </c>
      <c r="G98" s="52" t="s">
        <v>297</v>
      </c>
      <c r="H98" s="52" t="s">
        <v>298</v>
      </c>
    </row>
    <row r="99" spans="1:8" ht="23.15">
      <c r="A99" s="55" t="s">
        <v>3</v>
      </c>
      <c r="B99" s="44" t="s">
        <v>323</v>
      </c>
      <c r="C99" s="47" t="s">
        <v>198</v>
      </c>
      <c r="D99" s="47" t="s">
        <v>339</v>
      </c>
      <c r="E99" s="50">
        <v>12</v>
      </c>
      <c r="F99" s="52" t="s">
        <v>340</v>
      </c>
      <c r="G99" s="52" t="s">
        <v>341</v>
      </c>
      <c r="H99" s="52" t="s">
        <v>342</v>
      </c>
    </row>
    <row r="100" spans="1:8">
      <c r="A100" s="55" t="s">
        <v>3</v>
      </c>
      <c r="B100" s="44" t="s">
        <v>367</v>
      </c>
      <c r="C100" s="47" t="s">
        <v>198</v>
      </c>
      <c r="D100" s="47" t="s">
        <v>384</v>
      </c>
      <c r="E100" s="50">
        <v>12</v>
      </c>
      <c r="F100" s="52" t="s">
        <v>385</v>
      </c>
      <c r="G100" s="52" t="s">
        <v>386</v>
      </c>
      <c r="H100" s="52" t="s">
        <v>387</v>
      </c>
    </row>
    <row r="101" spans="1:8">
      <c r="A101" s="55" t="s">
        <v>3</v>
      </c>
      <c r="B101" s="44" t="s">
        <v>412</v>
      </c>
      <c r="C101" s="47" t="s">
        <v>198</v>
      </c>
      <c r="D101" s="47" t="s">
        <v>429</v>
      </c>
      <c r="E101" s="50">
        <v>12</v>
      </c>
      <c r="F101" s="52" t="s">
        <v>430</v>
      </c>
      <c r="G101" s="52" t="s">
        <v>431</v>
      </c>
      <c r="H101" s="52" t="s">
        <v>432</v>
      </c>
    </row>
    <row r="102" spans="1:8">
      <c r="A102" s="55" t="s">
        <v>7</v>
      </c>
      <c r="B102" s="44" t="s">
        <v>177</v>
      </c>
      <c r="C102" s="47" t="s">
        <v>198</v>
      </c>
      <c r="D102" s="47" t="s">
        <v>574</v>
      </c>
      <c r="E102" s="50">
        <v>8</v>
      </c>
      <c r="F102" s="52" t="s">
        <v>575</v>
      </c>
      <c r="G102" s="52" t="s">
        <v>576</v>
      </c>
      <c r="H102" s="52" t="s">
        <v>577</v>
      </c>
    </row>
    <row r="103" spans="1:8">
      <c r="A103" s="55" t="s">
        <v>7</v>
      </c>
      <c r="B103" s="44" t="s">
        <v>233</v>
      </c>
      <c r="C103" s="47" t="s">
        <v>198</v>
      </c>
      <c r="D103" s="47" t="s">
        <v>618</v>
      </c>
      <c r="E103" s="50">
        <v>8</v>
      </c>
      <c r="F103" s="52" t="s">
        <v>619</v>
      </c>
      <c r="G103" s="52" t="s">
        <v>620</v>
      </c>
      <c r="H103" s="52" t="s">
        <v>621</v>
      </c>
    </row>
    <row r="104" spans="1:8">
      <c r="A104" s="55" t="s">
        <v>7</v>
      </c>
      <c r="B104" s="44" t="s">
        <v>278</v>
      </c>
      <c r="C104" s="47" t="s">
        <v>198</v>
      </c>
      <c r="D104" s="47" t="s">
        <v>662</v>
      </c>
      <c r="E104" s="50">
        <v>10</v>
      </c>
      <c r="F104" s="52" t="s">
        <v>663</v>
      </c>
      <c r="G104" s="52" t="s">
        <v>664</v>
      </c>
      <c r="H104" s="52" t="s">
        <v>665</v>
      </c>
    </row>
    <row r="105" spans="1:8">
      <c r="A105" s="55" t="s">
        <v>7</v>
      </c>
      <c r="B105" s="44" t="s">
        <v>323</v>
      </c>
      <c r="C105" s="47" t="s">
        <v>198</v>
      </c>
      <c r="D105" s="47" t="s">
        <v>705</v>
      </c>
      <c r="E105" s="50">
        <v>14</v>
      </c>
      <c r="F105" s="52" t="s">
        <v>706</v>
      </c>
      <c r="G105" s="52" t="s">
        <v>707</v>
      </c>
      <c r="H105" s="52" t="s">
        <v>708</v>
      </c>
    </row>
    <row r="106" spans="1:8">
      <c r="A106" s="55" t="s">
        <v>7</v>
      </c>
      <c r="B106" s="44" t="s">
        <v>367</v>
      </c>
      <c r="C106" s="47" t="s">
        <v>198</v>
      </c>
      <c r="D106" s="47" t="s">
        <v>747</v>
      </c>
      <c r="E106" s="50">
        <v>10</v>
      </c>
      <c r="F106" s="52" t="s">
        <v>748</v>
      </c>
      <c r="G106" s="52" t="s">
        <v>749</v>
      </c>
      <c r="H106" s="52" t="s">
        <v>750</v>
      </c>
    </row>
    <row r="107" spans="1:8">
      <c r="A107" s="55" t="s">
        <v>7</v>
      </c>
      <c r="B107" s="44" t="s">
        <v>412</v>
      </c>
      <c r="C107" s="47" t="s">
        <v>198</v>
      </c>
      <c r="D107" s="47" t="s">
        <v>791</v>
      </c>
      <c r="E107" s="50">
        <v>10</v>
      </c>
      <c r="F107" s="52" t="s">
        <v>792</v>
      </c>
      <c r="G107" s="52" t="s">
        <v>793</v>
      </c>
      <c r="H107" s="52" t="s">
        <v>794</v>
      </c>
    </row>
    <row r="108" spans="1:8">
      <c r="A108" s="55" t="s">
        <v>11</v>
      </c>
      <c r="B108" s="44" t="s">
        <v>278</v>
      </c>
      <c r="C108" s="47" t="s">
        <v>198</v>
      </c>
      <c r="D108" s="47" t="s">
        <v>824</v>
      </c>
      <c r="E108" s="50">
        <v>10</v>
      </c>
      <c r="F108" s="52" t="s">
        <v>825</v>
      </c>
      <c r="G108" s="52" t="s">
        <v>826</v>
      </c>
      <c r="H108" s="52" t="s">
        <v>827</v>
      </c>
    </row>
    <row r="109" spans="1:8">
      <c r="A109" s="55" t="s">
        <v>11</v>
      </c>
      <c r="B109" s="44" t="s">
        <v>323</v>
      </c>
      <c r="C109" s="47" t="s">
        <v>198</v>
      </c>
      <c r="D109" s="47" t="s">
        <v>850</v>
      </c>
      <c r="E109" s="50">
        <v>10</v>
      </c>
      <c r="F109" s="52" t="s">
        <v>851</v>
      </c>
      <c r="G109" s="52" t="s">
        <v>852</v>
      </c>
      <c r="H109" s="52" t="s">
        <v>853</v>
      </c>
    </row>
    <row r="110" spans="1:8" ht="23.15">
      <c r="A110" s="55" t="s">
        <v>11</v>
      </c>
      <c r="B110" s="44" t="s">
        <v>412</v>
      </c>
      <c r="C110" s="47" t="s">
        <v>198</v>
      </c>
      <c r="D110" s="47" t="s">
        <v>898</v>
      </c>
      <c r="E110" s="50">
        <v>10</v>
      </c>
      <c r="F110" s="52" t="s">
        <v>899</v>
      </c>
      <c r="G110" s="52" t="s">
        <v>900</v>
      </c>
      <c r="H110" s="52" t="s">
        <v>901</v>
      </c>
    </row>
    <row r="111" spans="1:8">
      <c r="A111" s="55" t="s">
        <v>9</v>
      </c>
      <c r="B111" s="44" t="s">
        <v>278</v>
      </c>
      <c r="C111" s="47" t="s">
        <v>467</v>
      </c>
      <c r="D111" s="47" t="s">
        <v>468</v>
      </c>
      <c r="E111" s="50">
        <v>16</v>
      </c>
      <c r="F111" s="52" t="s">
        <v>469</v>
      </c>
      <c r="G111" s="52" t="s">
        <v>470</v>
      </c>
      <c r="H111" s="52" t="s">
        <v>471</v>
      </c>
    </row>
    <row r="112" spans="1:8">
      <c r="A112" s="55" t="s">
        <v>9</v>
      </c>
      <c r="B112" s="44" t="s">
        <v>323</v>
      </c>
      <c r="C112" s="47" t="s">
        <v>467</v>
      </c>
      <c r="D112" s="47" t="s">
        <v>494</v>
      </c>
      <c r="E112" s="50">
        <v>16</v>
      </c>
      <c r="F112" s="52" t="s">
        <v>495</v>
      </c>
      <c r="G112" s="52" t="s">
        <v>496</v>
      </c>
      <c r="H112" s="52" t="s">
        <v>497</v>
      </c>
    </row>
    <row r="113" spans="1:8">
      <c r="A113" s="55" t="s">
        <v>9</v>
      </c>
      <c r="B113" s="44" t="s">
        <v>367</v>
      </c>
      <c r="C113" s="47" t="s">
        <v>467</v>
      </c>
      <c r="D113" s="47" t="s">
        <v>518</v>
      </c>
      <c r="E113" s="50">
        <v>12</v>
      </c>
      <c r="F113" s="52" t="s">
        <v>519</v>
      </c>
      <c r="G113" s="52" t="s">
        <v>520</v>
      </c>
      <c r="H113" s="52" t="s">
        <v>521</v>
      </c>
    </row>
    <row r="114" spans="1:8">
      <c r="A114" s="55" t="s">
        <v>9</v>
      </c>
      <c r="B114" s="44" t="s">
        <v>412</v>
      </c>
      <c r="C114" s="47" t="s">
        <v>467</v>
      </c>
      <c r="D114" s="47" t="s">
        <v>542</v>
      </c>
      <c r="E114" s="50">
        <v>16</v>
      </c>
      <c r="F114" s="52" t="s">
        <v>543</v>
      </c>
      <c r="G114" s="52" t="s">
        <v>544</v>
      </c>
      <c r="H114" s="52" t="s">
        <v>545</v>
      </c>
    </row>
    <row r="115" spans="1:8">
      <c r="A115" s="55" t="s">
        <v>11</v>
      </c>
      <c r="B115" s="44" t="s">
        <v>367</v>
      </c>
      <c r="C115" s="47" t="s">
        <v>467</v>
      </c>
      <c r="D115" s="47" t="s">
        <v>874</v>
      </c>
      <c r="E115" s="50">
        <v>10</v>
      </c>
      <c r="F115" s="52" t="s">
        <v>875</v>
      </c>
      <c r="G115" s="52" t="s">
        <v>876</v>
      </c>
      <c r="H115" s="52" t="s">
        <v>877</v>
      </c>
    </row>
    <row r="116" spans="1:8">
      <c r="A116" s="55" t="s">
        <v>3</v>
      </c>
      <c r="B116" s="44" t="s">
        <v>177</v>
      </c>
      <c r="C116" s="47" t="s">
        <v>203</v>
      </c>
      <c r="D116" s="47" t="s">
        <v>204</v>
      </c>
      <c r="E116" s="50">
        <v>10</v>
      </c>
      <c r="F116" s="52" t="s">
        <v>205</v>
      </c>
      <c r="G116" s="52" t="s">
        <v>206</v>
      </c>
      <c r="H116" s="52" t="s">
        <v>207</v>
      </c>
    </row>
    <row r="117" spans="1:8">
      <c r="A117" s="55" t="s">
        <v>3</v>
      </c>
      <c r="B117" s="44" t="s">
        <v>233</v>
      </c>
      <c r="C117" s="47" t="s">
        <v>203</v>
      </c>
      <c r="D117" s="47" t="s">
        <v>254</v>
      </c>
      <c r="E117" s="50">
        <v>10</v>
      </c>
      <c r="F117" s="52" t="s">
        <v>255</v>
      </c>
      <c r="G117" s="52" t="s">
        <v>256</v>
      </c>
      <c r="H117" s="52" t="s">
        <v>257</v>
      </c>
    </row>
    <row r="118" spans="1:8">
      <c r="A118" s="55" t="s">
        <v>3</v>
      </c>
      <c r="B118" s="44" t="s">
        <v>278</v>
      </c>
      <c r="C118" s="47" t="s">
        <v>203</v>
      </c>
      <c r="D118" s="47" t="s">
        <v>299</v>
      </c>
      <c r="E118" s="50">
        <v>10</v>
      </c>
      <c r="F118" s="52" t="s">
        <v>300</v>
      </c>
      <c r="G118" s="52" t="s">
        <v>301</v>
      </c>
      <c r="H118" s="52" t="s">
        <v>302</v>
      </c>
    </row>
    <row r="119" spans="1:8">
      <c r="A119" s="55" t="s">
        <v>3</v>
      </c>
      <c r="B119" s="44" t="s">
        <v>323</v>
      </c>
      <c r="C119" s="47" t="s">
        <v>203</v>
      </c>
      <c r="D119" s="47" t="s">
        <v>343</v>
      </c>
      <c r="E119" s="50">
        <v>10</v>
      </c>
      <c r="F119" s="52" t="s">
        <v>344</v>
      </c>
      <c r="G119" s="52" t="s">
        <v>345</v>
      </c>
      <c r="H119" s="52" t="s">
        <v>346</v>
      </c>
    </row>
    <row r="120" spans="1:8">
      <c r="A120" s="55" t="s">
        <v>3</v>
      </c>
      <c r="B120" s="44" t="s">
        <v>367</v>
      </c>
      <c r="C120" s="47" t="s">
        <v>203</v>
      </c>
      <c r="D120" s="47" t="s">
        <v>388</v>
      </c>
      <c r="E120" s="50">
        <v>10</v>
      </c>
      <c r="F120" s="52" t="s">
        <v>389</v>
      </c>
      <c r="G120" s="52" t="s">
        <v>390</v>
      </c>
      <c r="H120" s="52" t="s">
        <v>391</v>
      </c>
    </row>
    <row r="121" spans="1:8">
      <c r="A121" s="55" t="s">
        <v>3</v>
      </c>
      <c r="B121" s="44" t="s">
        <v>412</v>
      </c>
      <c r="C121" s="47" t="s">
        <v>203</v>
      </c>
      <c r="D121" s="47" t="s">
        <v>433</v>
      </c>
      <c r="E121" s="50">
        <v>10</v>
      </c>
      <c r="F121" s="52" t="s">
        <v>434</v>
      </c>
      <c r="G121" s="52" t="s">
        <v>435</v>
      </c>
      <c r="H121" s="52" t="s">
        <v>436</v>
      </c>
    </row>
    <row r="122" spans="1:8">
      <c r="A122" s="55" t="s">
        <v>7</v>
      </c>
      <c r="B122" s="44" t="s">
        <v>177</v>
      </c>
      <c r="C122" s="47" t="s">
        <v>203</v>
      </c>
      <c r="D122" s="47" t="s">
        <v>578</v>
      </c>
      <c r="E122" s="50">
        <v>10</v>
      </c>
      <c r="F122" s="52" t="s">
        <v>579</v>
      </c>
      <c r="G122" s="52" t="s">
        <v>580</v>
      </c>
      <c r="H122" s="52" t="s">
        <v>581</v>
      </c>
    </row>
    <row r="123" spans="1:8">
      <c r="A123" s="55" t="s">
        <v>7</v>
      </c>
      <c r="B123" s="44" t="s">
        <v>233</v>
      </c>
      <c r="C123" s="47" t="s">
        <v>203</v>
      </c>
      <c r="D123" s="47" t="s">
        <v>622</v>
      </c>
      <c r="E123" s="50">
        <v>10</v>
      </c>
      <c r="F123" s="52" t="s">
        <v>623</v>
      </c>
      <c r="G123" s="52" t="s">
        <v>624</v>
      </c>
      <c r="H123" s="52" t="s">
        <v>625</v>
      </c>
    </row>
    <row r="124" spans="1:8">
      <c r="A124" s="55" t="s">
        <v>7</v>
      </c>
      <c r="B124" s="44" t="s">
        <v>278</v>
      </c>
      <c r="C124" s="47" t="s">
        <v>203</v>
      </c>
      <c r="D124" s="47" t="s">
        <v>666</v>
      </c>
      <c r="E124" s="50">
        <v>12</v>
      </c>
      <c r="F124" s="52" t="s">
        <v>667</v>
      </c>
      <c r="G124" s="52" t="s">
        <v>668</v>
      </c>
      <c r="H124" s="52" t="s">
        <v>669</v>
      </c>
    </row>
    <row r="125" spans="1:8">
      <c r="A125" s="55" t="s">
        <v>7</v>
      </c>
      <c r="B125" s="44" t="s">
        <v>323</v>
      </c>
      <c r="C125" s="47" t="s">
        <v>203</v>
      </c>
      <c r="D125" s="47" t="s">
        <v>709</v>
      </c>
      <c r="E125" s="50">
        <v>12</v>
      </c>
      <c r="F125" s="52" t="s">
        <v>710</v>
      </c>
      <c r="G125" s="52" t="s">
        <v>711</v>
      </c>
      <c r="H125" s="52" t="s">
        <v>712</v>
      </c>
    </row>
    <row r="126" spans="1:8">
      <c r="A126" s="55" t="s">
        <v>7</v>
      </c>
      <c r="B126" s="44" t="s">
        <v>367</v>
      </c>
      <c r="C126" s="47" t="s">
        <v>203</v>
      </c>
      <c r="D126" s="47" t="s">
        <v>751</v>
      </c>
      <c r="E126" s="50">
        <v>10</v>
      </c>
      <c r="F126" s="52" t="s">
        <v>752</v>
      </c>
      <c r="G126" s="52" t="s">
        <v>753</v>
      </c>
      <c r="H126" s="52" t="s">
        <v>754</v>
      </c>
    </row>
    <row r="127" spans="1:8">
      <c r="A127" s="55" t="s">
        <v>7</v>
      </c>
      <c r="B127" s="44" t="s">
        <v>412</v>
      </c>
      <c r="C127" s="47" t="s">
        <v>203</v>
      </c>
      <c r="D127" s="47" t="s">
        <v>795</v>
      </c>
      <c r="E127" s="50">
        <v>6</v>
      </c>
      <c r="F127" s="52" t="s">
        <v>796</v>
      </c>
      <c r="G127" s="52" t="s">
        <v>797</v>
      </c>
      <c r="H127" s="52" t="s">
        <v>798</v>
      </c>
    </row>
    <row r="128" spans="1:8">
      <c r="A128" s="55" t="s">
        <v>11</v>
      </c>
      <c r="B128" s="44" t="s">
        <v>278</v>
      </c>
      <c r="C128" s="47" t="s">
        <v>828</v>
      </c>
      <c r="D128" s="47" t="s">
        <v>829</v>
      </c>
      <c r="E128" s="50">
        <v>10</v>
      </c>
      <c r="F128" s="52" t="s">
        <v>830</v>
      </c>
      <c r="G128" s="52" t="s">
        <v>831</v>
      </c>
      <c r="H128" s="52" t="s">
        <v>832</v>
      </c>
    </row>
    <row r="129" spans="1:8">
      <c r="A129" s="55" t="s">
        <v>11</v>
      </c>
      <c r="B129" s="44" t="s">
        <v>323</v>
      </c>
      <c r="C129" s="47" t="s">
        <v>828</v>
      </c>
      <c r="D129" s="47" t="s">
        <v>854</v>
      </c>
      <c r="E129" s="50">
        <v>10</v>
      </c>
      <c r="F129" s="52" t="s">
        <v>855</v>
      </c>
      <c r="G129" s="52" t="s">
        <v>856</v>
      </c>
      <c r="H129" s="52" t="s">
        <v>857</v>
      </c>
    </row>
    <row r="130" spans="1:8">
      <c r="A130" s="55" t="s">
        <v>11</v>
      </c>
      <c r="B130" s="44" t="s">
        <v>412</v>
      </c>
      <c r="C130" s="47" t="s">
        <v>828</v>
      </c>
      <c r="D130" s="47" t="s">
        <v>902</v>
      </c>
      <c r="E130" s="50">
        <v>12</v>
      </c>
      <c r="F130" s="52" t="s">
        <v>903</v>
      </c>
      <c r="G130" s="52" t="s">
        <v>904</v>
      </c>
      <c r="H130" s="52" t="s">
        <v>905</v>
      </c>
    </row>
    <row r="131" spans="1:8">
      <c r="A131" s="55" t="s">
        <v>3</v>
      </c>
      <c r="B131" s="44" t="s">
        <v>177</v>
      </c>
      <c r="C131" s="47" t="s">
        <v>208</v>
      </c>
      <c r="D131" s="47" t="s">
        <v>209</v>
      </c>
      <c r="E131" s="50">
        <v>10</v>
      </c>
      <c r="F131" s="52" t="s">
        <v>210</v>
      </c>
      <c r="G131" s="52" t="s">
        <v>211</v>
      </c>
      <c r="H131" s="52" t="s">
        <v>212</v>
      </c>
    </row>
    <row r="132" spans="1:8">
      <c r="A132" s="55" t="s">
        <v>3</v>
      </c>
      <c r="B132" s="44" t="s">
        <v>233</v>
      </c>
      <c r="C132" s="47" t="s">
        <v>208</v>
      </c>
      <c r="D132" s="47" t="s">
        <v>258</v>
      </c>
      <c r="E132" s="50">
        <v>10</v>
      </c>
      <c r="F132" s="52" t="s">
        <v>259</v>
      </c>
      <c r="G132" s="52" t="s">
        <v>260</v>
      </c>
      <c r="H132" s="52" t="s">
        <v>261</v>
      </c>
    </row>
    <row r="133" spans="1:8">
      <c r="A133" s="55" t="s">
        <v>3</v>
      </c>
      <c r="B133" s="44" t="s">
        <v>278</v>
      </c>
      <c r="C133" s="47" t="s">
        <v>208</v>
      </c>
      <c r="D133" s="47" t="s">
        <v>303</v>
      </c>
      <c r="E133" s="50">
        <v>8</v>
      </c>
      <c r="F133" s="52" t="s">
        <v>304</v>
      </c>
      <c r="G133" s="52" t="s">
        <v>305</v>
      </c>
      <c r="H133" s="52" t="s">
        <v>306</v>
      </c>
    </row>
    <row r="134" spans="1:8">
      <c r="A134" s="55" t="s">
        <v>3</v>
      </c>
      <c r="B134" s="44" t="s">
        <v>323</v>
      </c>
      <c r="C134" s="47" t="s">
        <v>208</v>
      </c>
      <c r="D134" s="47" t="s">
        <v>347</v>
      </c>
      <c r="E134" s="50">
        <v>6</v>
      </c>
      <c r="F134" s="52" t="s">
        <v>348</v>
      </c>
      <c r="G134" s="52" t="s">
        <v>349</v>
      </c>
      <c r="H134" s="52" t="s">
        <v>350</v>
      </c>
    </row>
    <row r="135" spans="1:8">
      <c r="A135" s="55" t="s">
        <v>3</v>
      </c>
      <c r="B135" s="44" t="s">
        <v>367</v>
      </c>
      <c r="C135" s="47" t="s">
        <v>208</v>
      </c>
      <c r="D135" s="47" t="s">
        <v>392</v>
      </c>
      <c r="E135" s="50">
        <v>10</v>
      </c>
      <c r="F135" s="52" t="s">
        <v>393</v>
      </c>
      <c r="G135" s="52" t="s">
        <v>394</v>
      </c>
      <c r="H135" s="52" t="s">
        <v>395</v>
      </c>
    </row>
    <row r="136" spans="1:8">
      <c r="A136" s="55" t="s">
        <v>3</v>
      </c>
      <c r="B136" s="44" t="s">
        <v>412</v>
      </c>
      <c r="C136" s="47" t="s">
        <v>208</v>
      </c>
      <c r="D136" s="47" t="s">
        <v>437</v>
      </c>
      <c r="E136" s="50">
        <v>10</v>
      </c>
      <c r="F136" s="52" t="s">
        <v>438</v>
      </c>
      <c r="G136" s="52" t="s">
        <v>439</v>
      </c>
      <c r="H136" s="52" t="s">
        <v>440</v>
      </c>
    </row>
    <row r="137" spans="1:8">
      <c r="A137" s="55" t="s">
        <v>7</v>
      </c>
      <c r="B137" s="44" t="s">
        <v>177</v>
      </c>
      <c r="C137" s="47" t="s">
        <v>208</v>
      </c>
      <c r="D137" s="47" t="s">
        <v>582</v>
      </c>
      <c r="E137" s="50">
        <v>12</v>
      </c>
      <c r="F137" s="52" t="s">
        <v>583</v>
      </c>
      <c r="G137" s="52" t="s">
        <v>584</v>
      </c>
      <c r="H137" s="52" t="s">
        <v>585</v>
      </c>
    </row>
    <row r="138" spans="1:8">
      <c r="A138" s="55" t="s">
        <v>7</v>
      </c>
      <c r="B138" s="44" t="s">
        <v>233</v>
      </c>
      <c r="C138" s="47" t="s">
        <v>208</v>
      </c>
      <c r="D138" s="47" t="s">
        <v>626</v>
      </c>
      <c r="E138" s="50">
        <v>12</v>
      </c>
      <c r="F138" s="52" t="s">
        <v>627</v>
      </c>
      <c r="G138" s="52" t="s">
        <v>628</v>
      </c>
      <c r="H138" s="52" t="s">
        <v>629</v>
      </c>
    </row>
    <row r="139" spans="1:8">
      <c r="A139" s="55" t="s">
        <v>7</v>
      </c>
      <c r="B139" s="44" t="s">
        <v>278</v>
      </c>
      <c r="C139" s="47" t="s">
        <v>208</v>
      </c>
      <c r="D139" s="47" t="s">
        <v>670</v>
      </c>
      <c r="E139" s="50">
        <v>10</v>
      </c>
      <c r="F139" s="52" t="s">
        <v>671</v>
      </c>
      <c r="G139" s="52" t="s">
        <v>672</v>
      </c>
      <c r="H139" s="52" t="s">
        <v>673</v>
      </c>
    </row>
    <row r="140" spans="1:8" ht="23.15">
      <c r="A140" s="55" t="s">
        <v>7</v>
      </c>
      <c r="B140" s="44" t="s">
        <v>323</v>
      </c>
      <c r="C140" s="47" t="s">
        <v>208</v>
      </c>
      <c r="D140" s="47" t="s">
        <v>713</v>
      </c>
      <c r="E140" s="50">
        <v>12</v>
      </c>
      <c r="F140" s="52" t="s">
        <v>714</v>
      </c>
      <c r="G140" s="52" t="s">
        <v>715</v>
      </c>
      <c r="H140" s="52" t="s">
        <v>716</v>
      </c>
    </row>
    <row r="141" spans="1:8">
      <c r="A141" s="55" t="s">
        <v>7</v>
      </c>
      <c r="B141" s="44" t="s">
        <v>367</v>
      </c>
      <c r="C141" s="47" t="s">
        <v>208</v>
      </c>
      <c r="D141" s="47" t="s">
        <v>755</v>
      </c>
      <c r="E141" s="50">
        <v>10</v>
      </c>
      <c r="F141" s="52" t="s">
        <v>756</v>
      </c>
      <c r="G141" s="52" t="s">
        <v>757</v>
      </c>
      <c r="H141" s="52" t="s">
        <v>758</v>
      </c>
    </row>
    <row r="142" spans="1:8">
      <c r="A142" s="55" t="s">
        <v>7</v>
      </c>
      <c r="B142" s="44" t="s">
        <v>412</v>
      </c>
      <c r="C142" s="47" t="s">
        <v>208</v>
      </c>
      <c r="D142" s="47" t="s">
        <v>799</v>
      </c>
      <c r="E142" s="50">
        <v>12</v>
      </c>
      <c r="F142" s="52" t="s">
        <v>800</v>
      </c>
      <c r="G142" s="52" t="s">
        <v>801</v>
      </c>
      <c r="H142" s="52" t="s">
        <v>802</v>
      </c>
    </row>
    <row r="143" spans="1:8">
      <c r="A143" s="55" t="s">
        <v>9</v>
      </c>
      <c r="B143" s="44" t="s">
        <v>278</v>
      </c>
      <c r="C143" s="47" t="s">
        <v>472</v>
      </c>
      <c r="D143" s="47" t="s">
        <v>473</v>
      </c>
      <c r="E143" s="50">
        <v>12</v>
      </c>
      <c r="F143" s="52" t="s">
        <v>474</v>
      </c>
      <c r="G143" s="52" t="s">
        <v>475</v>
      </c>
      <c r="H143" s="52" t="s">
        <v>476</v>
      </c>
    </row>
    <row r="144" spans="1:8">
      <c r="A144" s="55" t="s">
        <v>9</v>
      </c>
      <c r="B144" s="44" t="s">
        <v>323</v>
      </c>
      <c r="C144" s="47" t="s">
        <v>472</v>
      </c>
      <c r="D144" s="47" t="s">
        <v>498</v>
      </c>
      <c r="E144" s="50">
        <v>14</v>
      </c>
      <c r="F144" s="52" t="s">
        <v>499</v>
      </c>
      <c r="G144" s="52" t="s">
        <v>500</v>
      </c>
      <c r="H144" s="52" t="s">
        <v>501</v>
      </c>
    </row>
    <row r="145" spans="1:8">
      <c r="A145" s="55" t="s">
        <v>9</v>
      </c>
      <c r="B145" s="44" t="s">
        <v>367</v>
      </c>
      <c r="C145" s="47" t="s">
        <v>472</v>
      </c>
      <c r="D145" s="47" t="s">
        <v>522</v>
      </c>
      <c r="E145" s="50">
        <v>16</v>
      </c>
      <c r="F145" s="52" t="s">
        <v>523</v>
      </c>
      <c r="G145" s="52" t="s">
        <v>524</v>
      </c>
      <c r="H145" s="52" t="s">
        <v>525</v>
      </c>
    </row>
    <row r="146" spans="1:8">
      <c r="A146" s="55" t="s">
        <v>9</v>
      </c>
      <c r="B146" s="44" t="s">
        <v>412</v>
      </c>
      <c r="C146" s="47" t="s">
        <v>472</v>
      </c>
      <c r="D146" s="47" t="s">
        <v>546</v>
      </c>
      <c r="E146" s="50">
        <v>14</v>
      </c>
      <c r="F146" s="52" t="s">
        <v>547</v>
      </c>
      <c r="G146" s="52" t="s">
        <v>548</v>
      </c>
      <c r="H146" s="52" t="s">
        <v>549</v>
      </c>
    </row>
    <row r="147" spans="1:8">
      <c r="A147" s="55" t="s">
        <v>11</v>
      </c>
      <c r="B147" s="44" t="s">
        <v>367</v>
      </c>
      <c r="C147" s="47" t="s">
        <v>472</v>
      </c>
      <c r="D147" s="47" t="s">
        <v>878</v>
      </c>
      <c r="E147" s="50">
        <v>12</v>
      </c>
      <c r="F147" s="52" t="s">
        <v>879</v>
      </c>
      <c r="G147" s="52" t="s">
        <v>880</v>
      </c>
      <c r="H147" s="52" t="s">
        <v>881</v>
      </c>
    </row>
    <row r="148" spans="1:8">
      <c r="A148" s="55" t="s">
        <v>3</v>
      </c>
      <c r="B148" s="44" t="s">
        <v>177</v>
      </c>
      <c r="C148" s="47" t="s">
        <v>213</v>
      </c>
      <c r="D148" s="47" t="s">
        <v>214</v>
      </c>
      <c r="E148" s="50">
        <v>8</v>
      </c>
      <c r="F148" s="52" t="s">
        <v>215</v>
      </c>
      <c r="G148" s="52" t="s">
        <v>216</v>
      </c>
      <c r="H148" s="52" t="s">
        <v>217</v>
      </c>
    </row>
    <row r="149" spans="1:8">
      <c r="A149" s="55" t="s">
        <v>3</v>
      </c>
      <c r="B149" s="44" t="s">
        <v>233</v>
      </c>
      <c r="C149" s="47" t="s">
        <v>213</v>
      </c>
      <c r="D149" s="47" t="s">
        <v>262</v>
      </c>
      <c r="E149" s="50">
        <v>6</v>
      </c>
      <c r="F149" s="52" t="s">
        <v>263</v>
      </c>
      <c r="G149" s="52" t="s">
        <v>264</v>
      </c>
      <c r="H149" s="52" t="s">
        <v>265</v>
      </c>
    </row>
    <row r="150" spans="1:8">
      <c r="A150" s="55" t="s">
        <v>3</v>
      </c>
      <c r="B150" s="44" t="s">
        <v>278</v>
      </c>
      <c r="C150" s="47" t="s">
        <v>213</v>
      </c>
      <c r="D150" s="47" t="s">
        <v>307</v>
      </c>
      <c r="E150" s="50">
        <v>8</v>
      </c>
      <c r="F150" s="52" t="s">
        <v>308</v>
      </c>
      <c r="G150" s="52" t="s">
        <v>309</v>
      </c>
      <c r="H150" s="52" t="s">
        <v>310</v>
      </c>
    </row>
    <row r="151" spans="1:8">
      <c r="A151" s="55" t="s">
        <v>3</v>
      </c>
      <c r="B151" s="44" t="s">
        <v>323</v>
      </c>
      <c r="C151" s="47" t="s">
        <v>213</v>
      </c>
      <c r="D151" s="47" t="s">
        <v>351</v>
      </c>
      <c r="E151" s="50">
        <v>10</v>
      </c>
      <c r="F151" s="52" t="s">
        <v>352</v>
      </c>
      <c r="G151" s="52" t="s">
        <v>353</v>
      </c>
      <c r="H151" s="52" t="s">
        <v>354</v>
      </c>
    </row>
    <row r="152" spans="1:8">
      <c r="A152" s="55" t="s">
        <v>3</v>
      </c>
      <c r="B152" s="44" t="s">
        <v>367</v>
      </c>
      <c r="C152" s="47" t="s">
        <v>213</v>
      </c>
      <c r="D152" s="47" t="s">
        <v>396</v>
      </c>
      <c r="E152" s="50">
        <v>8</v>
      </c>
      <c r="F152" s="52" t="s">
        <v>397</v>
      </c>
      <c r="G152" s="52" t="s">
        <v>398</v>
      </c>
      <c r="H152" s="52" t="s">
        <v>399</v>
      </c>
    </row>
    <row r="153" spans="1:8">
      <c r="A153" s="55" t="s">
        <v>3</v>
      </c>
      <c r="B153" s="44" t="s">
        <v>412</v>
      </c>
      <c r="C153" s="47" t="s">
        <v>213</v>
      </c>
      <c r="D153" s="47" t="s">
        <v>441</v>
      </c>
      <c r="E153" s="50">
        <v>10</v>
      </c>
      <c r="F153" s="52" t="s">
        <v>442</v>
      </c>
      <c r="G153" s="52" t="s">
        <v>443</v>
      </c>
      <c r="H153" s="52" t="s">
        <v>444</v>
      </c>
    </row>
    <row r="154" spans="1:8">
      <c r="A154" s="55" t="s">
        <v>7</v>
      </c>
      <c r="B154" s="44" t="s">
        <v>177</v>
      </c>
      <c r="C154" s="47" t="s">
        <v>213</v>
      </c>
      <c r="D154" s="47" t="s">
        <v>586</v>
      </c>
      <c r="E154" s="50">
        <v>12</v>
      </c>
      <c r="F154" s="52" t="s">
        <v>587</v>
      </c>
      <c r="G154" s="52" t="s">
        <v>588</v>
      </c>
      <c r="H154" s="52" t="s">
        <v>589</v>
      </c>
    </row>
    <row r="155" spans="1:8">
      <c r="A155" s="55" t="s">
        <v>7</v>
      </c>
      <c r="B155" s="44" t="s">
        <v>233</v>
      </c>
      <c r="C155" s="47" t="s">
        <v>213</v>
      </c>
      <c r="D155" s="47" t="s">
        <v>630</v>
      </c>
      <c r="E155" s="50">
        <v>12</v>
      </c>
      <c r="F155" s="52" t="s">
        <v>631</v>
      </c>
      <c r="G155" s="52" t="s">
        <v>632</v>
      </c>
      <c r="H155" s="52" t="s">
        <v>633</v>
      </c>
    </row>
    <row r="156" spans="1:8">
      <c r="A156" s="55" t="s">
        <v>7</v>
      </c>
      <c r="B156" s="44" t="s">
        <v>278</v>
      </c>
      <c r="C156" s="47" t="s">
        <v>213</v>
      </c>
      <c r="D156" s="47" t="s">
        <v>674</v>
      </c>
      <c r="E156" s="50">
        <v>8</v>
      </c>
      <c r="F156" s="52" t="s">
        <v>675</v>
      </c>
      <c r="G156" s="52" t="s">
        <v>676</v>
      </c>
      <c r="H156" s="52" t="s">
        <v>677</v>
      </c>
    </row>
    <row r="157" spans="1:8">
      <c r="A157" s="55" t="s">
        <v>7</v>
      </c>
      <c r="B157" s="44" t="s">
        <v>323</v>
      </c>
      <c r="C157" s="47" t="s">
        <v>213</v>
      </c>
      <c r="D157" s="47" t="s">
        <v>717</v>
      </c>
      <c r="E157" s="50">
        <v>8</v>
      </c>
      <c r="F157" s="52" t="s">
        <v>718</v>
      </c>
      <c r="G157" s="52" t="s">
        <v>719</v>
      </c>
      <c r="H157" s="52" t="s">
        <v>720</v>
      </c>
    </row>
    <row r="158" spans="1:8">
      <c r="A158" s="55" t="s">
        <v>7</v>
      </c>
      <c r="B158" s="44" t="s">
        <v>367</v>
      </c>
      <c r="C158" s="47" t="s">
        <v>213</v>
      </c>
      <c r="D158" s="47" t="s">
        <v>759</v>
      </c>
      <c r="E158" s="50">
        <v>10</v>
      </c>
      <c r="F158" s="52" t="s">
        <v>760</v>
      </c>
      <c r="G158" s="52" t="s">
        <v>761</v>
      </c>
      <c r="H158" s="52" t="s">
        <v>762</v>
      </c>
    </row>
    <row r="159" spans="1:8">
      <c r="A159" s="55" t="s">
        <v>7</v>
      </c>
      <c r="B159" s="44" t="s">
        <v>412</v>
      </c>
      <c r="C159" s="47" t="s">
        <v>213</v>
      </c>
      <c r="D159" s="47" t="s">
        <v>803</v>
      </c>
      <c r="E159" s="50">
        <v>8</v>
      </c>
      <c r="F159" s="52" t="s">
        <v>804</v>
      </c>
      <c r="G159" s="52" t="s">
        <v>805</v>
      </c>
      <c r="H159" s="52" t="s">
        <v>806</v>
      </c>
    </row>
    <row r="160" spans="1:8" ht="23.15">
      <c r="A160" s="55" t="s">
        <v>11</v>
      </c>
      <c r="B160" s="44" t="s">
        <v>278</v>
      </c>
      <c r="C160" s="47" t="s">
        <v>833</v>
      </c>
      <c r="D160" s="47" t="s">
        <v>834</v>
      </c>
      <c r="E160" s="50">
        <v>10</v>
      </c>
      <c r="F160" s="52" t="s">
        <v>835</v>
      </c>
      <c r="G160" s="52" t="s">
        <v>836</v>
      </c>
      <c r="H160" s="52" t="s">
        <v>837</v>
      </c>
    </row>
    <row r="161" spans="1:8">
      <c r="A161" s="55" t="s">
        <v>11</v>
      </c>
      <c r="B161" s="44" t="s">
        <v>323</v>
      </c>
      <c r="C161" s="47" t="s">
        <v>833</v>
      </c>
      <c r="D161" s="47" t="s">
        <v>858</v>
      </c>
      <c r="E161" s="50">
        <v>14</v>
      </c>
      <c r="F161" s="52" t="s">
        <v>859</v>
      </c>
      <c r="G161" s="52" t="s">
        <v>860</v>
      </c>
      <c r="H161" s="52" t="s">
        <v>861</v>
      </c>
    </row>
    <row r="162" spans="1:8">
      <c r="A162" s="55" t="s">
        <v>11</v>
      </c>
      <c r="B162" s="44" t="s">
        <v>412</v>
      </c>
      <c r="C162" s="47" t="s">
        <v>833</v>
      </c>
      <c r="D162" s="47" t="s">
        <v>906</v>
      </c>
      <c r="E162" s="50">
        <v>14</v>
      </c>
      <c r="F162" s="52" t="s">
        <v>907</v>
      </c>
      <c r="G162" s="52" t="s">
        <v>908</v>
      </c>
      <c r="H162" s="52" t="s">
        <v>909</v>
      </c>
    </row>
    <row r="163" spans="1:8">
      <c r="A163" s="55" t="s">
        <v>3</v>
      </c>
      <c r="B163" s="44" t="s">
        <v>177</v>
      </c>
      <c r="C163" s="47" t="s">
        <v>218</v>
      </c>
      <c r="D163" s="47" t="s">
        <v>219</v>
      </c>
      <c r="E163" s="50">
        <v>8</v>
      </c>
      <c r="F163" s="52" t="s">
        <v>220</v>
      </c>
      <c r="G163" s="52" t="s">
        <v>221</v>
      </c>
      <c r="H163" s="52" t="s">
        <v>222</v>
      </c>
    </row>
    <row r="164" spans="1:8">
      <c r="A164" s="55" t="s">
        <v>3</v>
      </c>
      <c r="B164" s="44" t="s">
        <v>233</v>
      </c>
      <c r="C164" s="47" t="s">
        <v>218</v>
      </c>
      <c r="D164" s="47" t="s">
        <v>266</v>
      </c>
      <c r="E164" s="50">
        <v>10</v>
      </c>
      <c r="F164" s="52" t="s">
        <v>267</v>
      </c>
      <c r="G164" s="52" t="s">
        <v>268</v>
      </c>
      <c r="H164" s="52" t="s">
        <v>269</v>
      </c>
    </row>
    <row r="165" spans="1:8">
      <c r="A165" s="55" t="s">
        <v>3</v>
      </c>
      <c r="B165" s="44" t="s">
        <v>278</v>
      </c>
      <c r="C165" s="47" t="s">
        <v>218</v>
      </c>
      <c r="D165" s="47" t="s">
        <v>311</v>
      </c>
      <c r="E165" s="50">
        <v>10</v>
      </c>
      <c r="F165" s="52" t="s">
        <v>312</v>
      </c>
      <c r="G165" s="52" t="s">
        <v>313</v>
      </c>
      <c r="H165" s="52" t="s">
        <v>314</v>
      </c>
    </row>
    <row r="166" spans="1:8">
      <c r="A166" s="55" t="s">
        <v>3</v>
      </c>
      <c r="B166" s="44" t="s">
        <v>323</v>
      </c>
      <c r="C166" s="47" t="s">
        <v>218</v>
      </c>
      <c r="D166" s="47" t="s">
        <v>355</v>
      </c>
      <c r="E166" s="50">
        <v>10</v>
      </c>
      <c r="F166" s="52" t="s">
        <v>356</v>
      </c>
      <c r="G166" s="52" t="s">
        <v>357</v>
      </c>
      <c r="H166" s="52" t="s">
        <v>358</v>
      </c>
    </row>
    <row r="167" spans="1:8">
      <c r="A167" s="55" t="s">
        <v>3</v>
      </c>
      <c r="B167" s="44" t="s">
        <v>367</v>
      </c>
      <c r="C167" s="47" t="s">
        <v>218</v>
      </c>
      <c r="D167" s="47" t="s">
        <v>400</v>
      </c>
      <c r="E167" s="50">
        <v>10</v>
      </c>
      <c r="F167" s="52" t="s">
        <v>401</v>
      </c>
      <c r="G167" s="52" t="s">
        <v>402</v>
      </c>
      <c r="H167" s="52" t="s">
        <v>403</v>
      </c>
    </row>
    <row r="168" spans="1:8">
      <c r="A168" s="55" t="s">
        <v>3</v>
      </c>
      <c r="B168" s="44" t="s">
        <v>412</v>
      </c>
      <c r="C168" s="47" t="s">
        <v>218</v>
      </c>
      <c r="D168" s="47" t="s">
        <v>445</v>
      </c>
      <c r="E168" s="50">
        <v>8</v>
      </c>
      <c r="F168" s="52" t="s">
        <v>446</v>
      </c>
      <c r="G168" s="52" t="s">
        <v>447</v>
      </c>
      <c r="H168" s="52" t="s">
        <v>448</v>
      </c>
    </row>
    <row r="169" spans="1:8">
      <c r="A169" s="55" t="s">
        <v>7</v>
      </c>
      <c r="B169" s="44" t="s">
        <v>177</v>
      </c>
      <c r="C169" s="47" t="s">
        <v>218</v>
      </c>
      <c r="D169" s="47" t="s">
        <v>590</v>
      </c>
      <c r="E169" s="50">
        <v>8</v>
      </c>
      <c r="F169" s="52" t="s">
        <v>591</v>
      </c>
      <c r="G169" s="52" t="s">
        <v>592</v>
      </c>
      <c r="H169" s="52" t="s">
        <v>593</v>
      </c>
    </row>
    <row r="170" spans="1:8">
      <c r="A170" s="55" t="s">
        <v>7</v>
      </c>
      <c r="B170" s="44" t="s">
        <v>233</v>
      </c>
      <c r="C170" s="47" t="s">
        <v>218</v>
      </c>
      <c r="D170" s="47" t="s">
        <v>634</v>
      </c>
      <c r="E170" s="50">
        <v>8</v>
      </c>
      <c r="F170" s="52" t="s">
        <v>635</v>
      </c>
      <c r="G170" s="52" t="s">
        <v>636</v>
      </c>
      <c r="H170" s="52" t="s">
        <v>637</v>
      </c>
    </row>
    <row r="171" spans="1:8">
      <c r="A171" s="55" t="s">
        <v>7</v>
      </c>
      <c r="B171" s="44" t="s">
        <v>278</v>
      </c>
      <c r="C171" s="47" t="s">
        <v>218</v>
      </c>
      <c r="D171" s="47" t="s">
        <v>638</v>
      </c>
      <c r="E171" s="50">
        <v>10</v>
      </c>
      <c r="F171" s="52" t="s">
        <v>678</v>
      </c>
      <c r="G171" s="52" t="s">
        <v>679</v>
      </c>
      <c r="H171" s="52" t="s">
        <v>680</v>
      </c>
    </row>
    <row r="172" spans="1:8">
      <c r="A172" s="55" t="s">
        <v>7</v>
      </c>
      <c r="B172" s="44" t="s">
        <v>323</v>
      </c>
      <c r="C172" s="47" t="s">
        <v>218</v>
      </c>
      <c r="D172" s="47" t="s">
        <v>638</v>
      </c>
      <c r="E172" s="50">
        <v>10</v>
      </c>
      <c r="F172" s="52" t="s">
        <v>721</v>
      </c>
      <c r="G172" s="52" t="s">
        <v>722</v>
      </c>
      <c r="H172" s="52" t="s">
        <v>723</v>
      </c>
    </row>
    <row r="173" spans="1:8">
      <c r="A173" s="55" t="s">
        <v>7</v>
      </c>
      <c r="B173" s="44" t="s">
        <v>367</v>
      </c>
      <c r="C173" s="47" t="s">
        <v>218</v>
      </c>
      <c r="D173" s="47" t="s">
        <v>763</v>
      </c>
      <c r="E173" s="50">
        <v>12</v>
      </c>
      <c r="F173" s="52" t="s">
        <v>764</v>
      </c>
      <c r="G173" s="52" t="s">
        <v>765</v>
      </c>
      <c r="H173" s="52" t="s">
        <v>766</v>
      </c>
    </row>
    <row r="174" spans="1:8" ht="23.15">
      <c r="A174" s="55" t="s">
        <v>7</v>
      </c>
      <c r="B174" s="44" t="s">
        <v>412</v>
      </c>
      <c r="C174" s="47" t="s">
        <v>218</v>
      </c>
      <c r="D174" s="47" t="s">
        <v>807</v>
      </c>
      <c r="E174" s="50">
        <v>8</v>
      </c>
      <c r="F174" s="52" t="s">
        <v>808</v>
      </c>
      <c r="G174" s="52" t="s">
        <v>809</v>
      </c>
      <c r="H174" s="52" t="s">
        <v>810</v>
      </c>
    </row>
    <row r="175" spans="1:8">
      <c r="A175" s="55" t="s">
        <v>9</v>
      </c>
      <c r="B175" s="44" t="s">
        <v>278</v>
      </c>
      <c r="C175" s="47" t="s">
        <v>477</v>
      </c>
      <c r="D175" s="47" t="s">
        <v>478</v>
      </c>
      <c r="E175" s="50">
        <v>14</v>
      </c>
      <c r="F175" s="52" t="s">
        <v>479</v>
      </c>
      <c r="G175" s="52" t="s">
        <v>480</v>
      </c>
      <c r="H175" s="52" t="s">
        <v>481</v>
      </c>
    </row>
    <row r="176" spans="1:8">
      <c r="A176" s="55" t="s">
        <v>9</v>
      </c>
      <c r="B176" s="44" t="s">
        <v>323</v>
      </c>
      <c r="C176" s="47" t="s">
        <v>477</v>
      </c>
      <c r="D176" s="47" t="s">
        <v>502</v>
      </c>
      <c r="E176" s="50">
        <v>14</v>
      </c>
      <c r="F176" s="52" t="s">
        <v>503</v>
      </c>
      <c r="G176" s="52" t="s">
        <v>504</v>
      </c>
      <c r="H176" s="52" t="s">
        <v>505</v>
      </c>
    </row>
    <row r="177" spans="1:8">
      <c r="A177" s="55" t="s">
        <v>9</v>
      </c>
      <c r="B177" s="44" t="s">
        <v>367</v>
      </c>
      <c r="C177" s="47" t="s">
        <v>477</v>
      </c>
      <c r="D177" s="47" t="s">
        <v>526</v>
      </c>
      <c r="E177" s="50">
        <v>14</v>
      </c>
      <c r="F177" s="52" t="s">
        <v>527</v>
      </c>
      <c r="G177" s="52" t="s">
        <v>528</v>
      </c>
      <c r="H177" s="52" t="s">
        <v>529</v>
      </c>
    </row>
    <row r="178" spans="1:8">
      <c r="A178" s="55" t="s">
        <v>9</v>
      </c>
      <c r="B178" s="44" t="s">
        <v>412</v>
      </c>
      <c r="C178" s="47" t="s">
        <v>477</v>
      </c>
      <c r="D178" s="47" t="s">
        <v>550</v>
      </c>
      <c r="E178" s="50">
        <v>12</v>
      </c>
      <c r="F178" s="52" t="s">
        <v>551</v>
      </c>
      <c r="G178" s="52" t="s">
        <v>552</v>
      </c>
      <c r="H178" s="52" t="s">
        <v>553</v>
      </c>
    </row>
    <row r="179" spans="1:8">
      <c r="A179" s="55" t="s">
        <v>11</v>
      </c>
      <c r="B179" s="44" t="s">
        <v>367</v>
      </c>
      <c r="C179" s="47" t="s">
        <v>477</v>
      </c>
      <c r="D179" s="47" t="s">
        <v>882</v>
      </c>
      <c r="E179" s="50">
        <v>12</v>
      </c>
      <c r="F179" s="52" t="s">
        <v>883</v>
      </c>
      <c r="G179" s="52" t="s">
        <v>884</v>
      </c>
      <c r="H179" s="52" t="s">
        <v>885</v>
      </c>
    </row>
    <row r="180" spans="1:8">
      <c r="A180" s="55" t="s">
        <v>3</v>
      </c>
      <c r="B180" s="44" t="s">
        <v>177</v>
      </c>
      <c r="C180" s="47" t="s">
        <v>223</v>
      </c>
      <c r="D180" s="47" t="s">
        <v>224</v>
      </c>
      <c r="E180" s="50">
        <v>10</v>
      </c>
      <c r="F180" s="52" t="s">
        <v>225</v>
      </c>
      <c r="G180" s="52" t="s">
        <v>226</v>
      </c>
      <c r="H180" s="52" t="s">
        <v>227</v>
      </c>
    </row>
    <row r="181" spans="1:8">
      <c r="A181" s="55" t="s">
        <v>3</v>
      </c>
      <c r="B181" s="44" t="s">
        <v>233</v>
      </c>
      <c r="C181" s="47" t="s">
        <v>223</v>
      </c>
      <c r="D181" s="47" t="s">
        <v>270</v>
      </c>
      <c r="E181" s="50">
        <v>8</v>
      </c>
      <c r="F181" s="52" t="s">
        <v>271</v>
      </c>
      <c r="G181" s="52" t="s">
        <v>272</v>
      </c>
      <c r="H181" s="52" t="s">
        <v>273</v>
      </c>
    </row>
    <row r="182" spans="1:8">
      <c r="A182" s="55" t="s">
        <v>3</v>
      </c>
      <c r="B182" s="44" t="s">
        <v>278</v>
      </c>
      <c r="C182" s="47" t="s">
        <v>223</v>
      </c>
      <c r="D182" s="47" t="s">
        <v>315</v>
      </c>
      <c r="E182" s="50">
        <v>12</v>
      </c>
      <c r="F182" s="52" t="s">
        <v>316</v>
      </c>
      <c r="G182" s="52" t="s">
        <v>317</v>
      </c>
      <c r="H182" s="52" t="s">
        <v>318</v>
      </c>
    </row>
    <row r="183" spans="1:8">
      <c r="A183" s="55" t="s">
        <v>3</v>
      </c>
      <c r="B183" s="44" t="s">
        <v>323</v>
      </c>
      <c r="C183" s="47" t="s">
        <v>223</v>
      </c>
      <c r="D183" s="47" t="s">
        <v>359</v>
      </c>
      <c r="E183" s="50">
        <v>10</v>
      </c>
      <c r="F183" s="52" t="s">
        <v>360</v>
      </c>
      <c r="G183" s="52" t="s">
        <v>361</v>
      </c>
      <c r="H183" s="52" t="s">
        <v>362</v>
      </c>
    </row>
    <row r="184" spans="1:8">
      <c r="A184" s="55" t="s">
        <v>3</v>
      </c>
      <c r="B184" s="44" t="s">
        <v>367</v>
      </c>
      <c r="C184" s="47" t="s">
        <v>223</v>
      </c>
      <c r="D184" s="47" t="s">
        <v>404</v>
      </c>
      <c r="E184" s="50">
        <v>10</v>
      </c>
      <c r="F184" s="52" t="s">
        <v>405</v>
      </c>
      <c r="G184" s="52" t="s">
        <v>406</v>
      </c>
      <c r="H184" s="52" t="s">
        <v>407</v>
      </c>
    </row>
    <row r="185" spans="1:8">
      <c r="A185" s="55" t="s">
        <v>3</v>
      </c>
      <c r="B185" s="44" t="s">
        <v>412</v>
      </c>
      <c r="C185" s="47" t="s">
        <v>223</v>
      </c>
      <c r="D185" s="47" t="s">
        <v>449</v>
      </c>
      <c r="E185" s="50">
        <v>8</v>
      </c>
      <c r="F185" s="52" t="s">
        <v>450</v>
      </c>
      <c r="G185" s="52" t="s">
        <v>451</v>
      </c>
      <c r="H185" s="52" t="s">
        <v>452</v>
      </c>
    </row>
    <row r="186" spans="1:8">
      <c r="A186" s="55" t="s">
        <v>7</v>
      </c>
      <c r="B186" s="44" t="s">
        <v>177</v>
      </c>
      <c r="C186" s="47" t="s">
        <v>223</v>
      </c>
      <c r="D186" s="47" t="s">
        <v>594</v>
      </c>
      <c r="E186" s="50">
        <v>10</v>
      </c>
      <c r="F186" s="52" t="s">
        <v>595</v>
      </c>
      <c r="G186" s="52" t="s">
        <v>596</v>
      </c>
      <c r="H186" s="52" t="s">
        <v>597</v>
      </c>
    </row>
    <row r="187" spans="1:8">
      <c r="A187" s="55" t="s">
        <v>7</v>
      </c>
      <c r="B187" s="44" t="s">
        <v>233</v>
      </c>
      <c r="C187" s="47" t="s">
        <v>223</v>
      </c>
      <c r="D187" s="47" t="s">
        <v>638</v>
      </c>
      <c r="E187" s="50">
        <v>6</v>
      </c>
      <c r="F187" s="52" t="s">
        <v>639</v>
      </c>
      <c r="G187" s="52" t="s">
        <v>640</v>
      </c>
      <c r="H187" s="52" t="s">
        <v>641</v>
      </c>
    </row>
    <row r="188" spans="1:8">
      <c r="A188" s="55" t="s">
        <v>7</v>
      </c>
      <c r="B188" s="44" t="s">
        <v>278</v>
      </c>
      <c r="C188" s="47" t="s">
        <v>223</v>
      </c>
      <c r="D188" s="47" t="s">
        <v>681</v>
      </c>
      <c r="E188" s="50">
        <v>6</v>
      </c>
      <c r="F188" s="52" t="s">
        <v>682</v>
      </c>
      <c r="G188" s="52" t="s">
        <v>683</v>
      </c>
      <c r="H188" s="52" t="s">
        <v>684</v>
      </c>
    </row>
    <row r="189" spans="1:8">
      <c r="A189" s="55" t="s">
        <v>7</v>
      </c>
      <c r="B189" s="44" t="s">
        <v>323</v>
      </c>
      <c r="C189" s="47" t="s">
        <v>223</v>
      </c>
      <c r="D189" s="47" t="s">
        <v>724</v>
      </c>
      <c r="E189" s="50">
        <v>10</v>
      </c>
      <c r="F189" s="52" t="s">
        <v>725</v>
      </c>
      <c r="G189" s="52" t="s">
        <v>726</v>
      </c>
      <c r="H189" s="52" t="s">
        <v>727</v>
      </c>
    </row>
    <row r="190" spans="1:8">
      <c r="A190" s="55" t="s">
        <v>7</v>
      </c>
      <c r="B190" s="44" t="s">
        <v>367</v>
      </c>
      <c r="C190" s="47" t="s">
        <v>223</v>
      </c>
      <c r="D190" s="47" t="s">
        <v>767</v>
      </c>
      <c r="E190" s="50">
        <v>8</v>
      </c>
      <c r="F190" s="52" t="s">
        <v>768</v>
      </c>
      <c r="G190" s="52" t="s">
        <v>769</v>
      </c>
      <c r="H190" s="52" t="s">
        <v>770</v>
      </c>
    </row>
    <row r="191" spans="1:8">
      <c r="A191" s="55" t="s">
        <v>7</v>
      </c>
      <c r="B191" s="44" t="s">
        <v>412</v>
      </c>
      <c r="C191" s="47" t="s">
        <v>811</v>
      </c>
      <c r="D191" s="47" t="s">
        <v>812</v>
      </c>
      <c r="E191" s="50">
        <v>12</v>
      </c>
      <c r="F191" s="52" t="s">
        <v>813</v>
      </c>
      <c r="G191" s="52" t="s">
        <v>814</v>
      </c>
      <c r="H191" s="52" t="s">
        <v>815</v>
      </c>
    </row>
    <row r="192" spans="1:8">
      <c r="A192" s="55" t="s">
        <v>11</v>
      </c>
      <c r="B192" s="44" t="s">
        <v>278</v>
      </c>
      <c r="C192" s="47" t="s">
        <v>811</v>
      </c>
      <c r="D192" s="47" t="s">
        <v>838</v>
      </c>
      <c r="E192" s="50">
        <v>12</v>
      </c>
      <c r="F192" s="52" t="s">
        <v>839</v>
      </c>
      <c r="G192" s="52" t="s">
        <v>840</v>
      </c>
      <c r="H192" s="52" t="s">
        <v>841</v>
      </c>
    </row>
    <row r="193" spans="1:8">
      <c r="A193" s="55" t="s">
        <v>11</v>
      </c>
      <c r="B193" s="44" t="s">
        <v>323</v>
      </c>
      <c r="C193" s="47" t="s">
        <v>811</v>
      </c>
      <c r="D193" s="47" t="s">
        <v>862</v>
      </c>
      <c r="E193" s="50">
        <v>12</v>
      </c>
      <c r="F193" s="52" t="s">
        <v>863</v>
      </c>
      <c r="G193" s="52" t="s">
        <v>864</v>
      </c>
      <c r="H193" s="52" t="s">
        <v>865</v>
      </c>
    </row>
    <row r="194" spans="1:8" ht="23.15">
      <c r="A194" s="55" t="s">
        <v>11</v>
      </c>
      <c r="B194" s="44" t="s">
        <v>412</v>
      </c>
      <c r="C194" s="47" t="s">
        <v>811</v>
      </c>
      <c r="D194" s="47" t="s">
        <v>910</v>
      </c>
      <c r="E194" s="50">
        <v>12</v>
      </c>
      <c r="F194" s="52" t="s">
        <v>911</v>
      </c>
      <c r="G194" s="52" t="s">
        <v>912</v>
      </c>
      <c r="H194" s="52" t="s">
        <v>913</v>
      </c>
    </row>
    <row r="195" spans="1:8">
      <c r="A195" s="55" t="s">
        <v>3</v>
      </c>
      <c r="B195" s="44" t="s">
        <v>177</v>
      </c>
      <c r="C195" s="47" t="s">
        <v>228</v>
      </c>
      <c r="D195" s="47" t="s">
        <v>229</v>
      </c>
      <c r="E195" s="50">
        <v>5</v>
      </c>
      <c r="F195" s="52" t="s">
        <v>230</v>
      </c>
      <c r="G195" s="52" t="s">
        <v>231</v>
      </c>
      <c r="H195" s="52" t="s">
        <v>232</v>
      </c>
    </row>
    <row r="196" spans="1:8">
      <c r="A196" s="55" t="s">
        <v>3</v>
      </c>
      <c r="B196" s="44" t="s">
        <v>233</v>
      </c>
      <c r="C196" s="47" t="s">
        <v>228</v>
      </c>
      <c r="D196" s="47" t="s">
        <v>274</v>
      </c>
      <c r="E196" s="50">
        <v>6</v>
      </c>
      <c r="F196" s="52" t="s">
        <v>275</v>
      </c>
      <c r="G196" s="52" t="s">
        <v>276</v>
      </c>
      <c r="H196" s="52" t="s">
        <v>277</v>
      </c>
    </row>
    <row r="197" spans="1:8">
      <c r="A197" s="55" t="s">
        <v>3</v>
      </c>
      <c r="B197" s="44" t="s">
        <v>278</v>
      </c>
      <c r="C197" s="47" t="s">
        <v>228</v>
      </c>
      <c r="D197" s="47" t="s">
        <v>319</v>
      </c>
      <c r="E197" s="50">
        <v>6</v>
      </c>
      <c r="F197" s="52" t="s">
        <v>320</v>
      </c>
      <c r="G197" s="52" t="s">
        <v>321</v>
      </c>
      <c r="H197" s="52" t="s">
        <v>322</v>
      </c>
    </row>
    <row r="198" spans="1:8">
      <c r="A198" s="55" t="s">
        <v>3</v>
      </c>
      <c r="B198" s="44" t="s">
        <v>323</v>
      </c>
      <c r="C198" s="47" t="s">
        <v>228</v>
      </c>
      <c r="D198" s="47" t="s">
        <v>363</v>
      </c>
      <c r="E198" s="50">
        <v>6</v>
      </c>
      <c r="F198" s="52" t="s">
        <v>364</v>
      </c>
      <c r="G198" s="52" t="s">
        <v>365</v>
      </c>
      <c r="H198" s="52" t="s">
        <v>366</v>
      </c>
    </row>
    <row r="199" spans="1:8">
      <c r="A199" s="55" t="s">
        <v>3</v>
      </c>
      <c r="B199" s="44" t="s">
        <v>367</v>
      </c>
      <c r="C199" s="47" t="s">
        <v>228</v>
      </c>
      <c r="D199" s="47" t="s">
        <v>408</v>
      </c>
      <c r="E199" s="50">
        <v>6</v>
      </c>
      <c r="F199" s="52" t="s">
        <v>409</v>
      </c>
      <c r="G199" s="52" t="s">
        <v>410</v>
      </c>
      <c r="H199" s="52" t="s">
        <v>411</v>
      </c>
    </row>
    <row r="200" spans="1:8">
      <c r="A200" s="55" t="s">
        <v>3</v>
      </c>
      <c r="B200" s="44" t="s">
        <v>412</v>
      </c>
      <c r="C200" s="47" t="s">
        <v>228</v>
      </c>
      <c r="D200" s="47" t="s">
        <v>453</v>
      </c>
      <c r="E200" s="50">
        <v>6</v>
      </c>
      <c r="F200" s="52" t="s">
        <v>454</v>
      </c>
      <c r="G200" s="52" t="s">
        <v>455</v>
      </c>
      <c r="H200" s="52" t="s">
        <v>456</v>
      </c>
    </row>
    <row r="201" spans="1:8">
      <c r="A201" s="55" t="s">
        <v>7</v>
      </c>
      <c r="B201" s="44" t="s">
        <v>177</v>
      </c>
      <c r="C201" s="47" t="s">
        <v>228</v>
      </c>
      <c r="D201" s="47" t="s">
        <v>598</v>
      </c>
      <c r="E201" s="50">
        <v>6</v>
      </c>
      <c r="F201" s="52" t="s">
        <v>599</v>
      </c>
      <c r="G201" s="52" t="s">
        <v>600</v>
      </c>
      <c r="H201" s="52" t="s">
        <v>601</v>
      </c>
    </row>
    <row r="202" spans="1:8">
      <c r="A202" s="55" t="s">
        <v>7</v>
      </c>
      <c r="B202" s="44" t="s">
        <v>233</v>
      </c>
      <c r="C202" s="47" t="s">
        <v>228</v>
      </c>
      <c r="D202" s="47" t="s">
        <v>642</v>
      </c>
      <c r="E202" s="50">
        <v>6</v>
      </c>
      <c r="F202" s="52" t="s">
        <v>643</v>
      </c>
      <c r="G202" s="52" t="s">
        <v>644</v>
      </c>
      <c r="H202" s="52" t="s">
        <v>645</v>
      </c>
    </row>
    <row r="203" spans="1:8">
      <c r="A203" s="55" t="s">
        <v>7</v>
      </c>
      <c r="B203" s="44" t="s">
        <v>278</v>
      </c>
      <c r="C203" s="47" t="s">
        <v>228</v>
      </c>
      <c r="D203" s="47" t="s">
        <v>685</v>
      </c>
      <c r="E203" s="50">
        <v>4</v>
      </c>
      <c r="F203" s="52" t="s">
        <v>686</v>
      </c>
      <c r="G203" s="52" t="s">
        <v>687</v>
      </c>
      <c r="H203" s="52" t="s">
        <v>688</v>
      </c>
    </row>
    <row r="204" spans="1:8">
      <c r="A204" s="55" t="s">
        <v>7</v>
      </c>
      <c r="B204" s="44" t="s">
        <v>323</v>
      </c>
      <c r="C204" s="47" t="s">
        <v>228</v>
      </c>
      <c r="D204" s="47" t="s">
        <v>728</v>
      </c>
      <c r="E204" s="50">
        <v>6</v>
      </c>
      <c r="F204" s="52" t="s">
        <v>729</v>
      </c>
      <c r="G204" s="52" t="s">
        <v>730</v>
      </c>
      <c r="H204" s="52" t="s">
        <v>731</v>
      </c>
    </row>
    <row r="205" spans="1:8">
      <c r="A205" s="55" t="s">
        <v>7</v>
      </c>
      <c r="B205" s="44" t="s">
        <v>367</v>
      </c>
      <c r="C205" s="47" t="s">
        <v>228</v>
      </c>
      <c r="D205" s="47" t="s">
        <v>771</v>
      </c>
      <c r="E205" s="50">
        <v>6</v>
      </c>
      <c r="F205" s="52" t="s">
        <v>772</v>
      </c>
      <c r="G205" s="52" t="s">
        <v>773</v>
      </c>
      <c r="H205" s="52" t="s">
        <v>774</v>
      </c>
    </row>
    <row r="206" spans="1:8">
      <c r="A206" s="55" t="s">
        <v>9</v>
      </c>
      <c r="B206" s="44" t="s">
        <v>278</v>
      </c>
      <c r="C206" s="47" t="s">
        <v>228</v>
      </c>
      <c r="D206" s="47" t="s">
        <v>482</v>
      </c>
      <c r="E206" s="50">
        <v>6</v>
      </c>
      <c r="F206" s="52" t="s">
        <v>483</v>
      </c>
      <c r="G206" s="52" t="s">
        <v>484</v>
      </c>
      <c r="H206" s="52" t="s">
        <v>485</v>
      </c>
    </row>
    <row r="207" spans="1:8">
      <c r="A207" s="55" t="s">
        <v>9</v>
      </c>
      <c r="B207" s="44" t="s">
        <v>323</v>
      </c>
      <c r="C207" s="47" t="s">
        <v>228</v>
      </c>
      <c r="D207" s="47" t="s">
        <v>506</v>
      </c>
      <c r="E207" s="50">
        <v>8</v>
      </c>
      <c r="F207" s="52" t="s">
        <v>507</v>
      </c>
      <c r="G207" s="52" t="s">
        <v>508</v>
      </c>
      <c r="H207" s="52" t="s">
        <v>509</v>
      </c>
    </row>
    <row r="208" spans="1:8">
      <c r="A208" s="55" t="s">
        <v>9</v>
      </c>
      <c r="B208" s="44" t="s">
        <v>367</v>
      </c>
      <c r="C208" s="47" t="s">
        <v>228</v>
      </c>
      <c r="D208" s="47" t="s">
        <v>530</v>
      </c>
      <c r="E208" s="50">
        <v>8</v>
      </c>
      <c r="F208" s="52" t="s">
        <v>531</v>
      </c>
      <c r="G208" s="52" t="s">
        <v>532</v>
      </c>
      <c r="H208" s="52" t="s">
        <v>533</v>
      </c>
    </row>
    <row r="209" spans="1:8" ht="23.15">
      <c r="A209" s="55" t="s">
        <v>9</v>
      </c>
      <c r="B209" s="44" t="s">
        <v>412</v>
      </c>
      <c r="C209" s="47" t="s">
        <v>228</v>
      </c>
      <c r="D209" s="47" t="s">
        <v>554</v>
      </c>
      <c r="E209" s="50">
        <v>6</v>
      </c>
      <c r="F209" s="52" t="s">
        <v>555</v>
      </c>
      <c r="G209" s="52" t="s">
        <v>556</v>
      </c>
      <c r="H209" s="52" t="s">
        <v>557</v>
      </c>
    </row>
    <row r="210" spans="1:8">
      <c r="A210" s="55" t="s">
        <v>11</v>
      </c>
      <c r="B210" s="44" t="s">
        <v>367</v>
      </c>
      <c r="C210" s="47" t="s">
        <v>228</v>
      </c>
      <c r="D210" s="47" t="s">
        <v>886</v>
      </c>
      <c r="E210" s="50">
        <v>12</v>
      </c>
      <c r="F210" s="52" t="s">
        <v>887</v>
      </c>
      <c r="G210" s="52" t="s">
        <v>888</v>
      </c>
      <c r="H210" s="52" t="s">
        <v>889</v>
      </c>
    </row>
  </sheetData>
  <autoFilter ref="A1:H1" xr:uid="{17A31703-73E9-4D4A-ACA7-47FB6BCAF7BD}"/>
  <sortState xmlns:xlrd2="http://schemas.microsoft.com/office/spreadsheetml/2017/richdata2" ref="A2:H211">
    <sortCondition ref="C116:C211"/>
    <sortCondition ref="A116:A211"/>
    <sortCondition ref="B116:B211"/>
  </sortState>
  <phoneticPr fontId="2"/>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06CE-2F50-454E-8B67-CE2FF80A358E}">
  <dimension ref="A1:H210"/>
  <sheetViews>
    <sheetView workbookViewId="0">
      <pane ySplit="1" topLeftCell="A2" activePane="bottomLeft" state="frozen"/>
      <selection activeCell="D5" sqref="D5"/>
      <selection pane="bottomLeft" activeCell="D5" sqref="D5"/>
    </sheetView>
  </sheetViews>
  <sheetFormatPr defaultRowHeight="11.6"/>
  <cols>
    <col min="1" max="1" width="9.640625" style="56" bestFit="1" customWidth="1"/>
    <col min="2" max="2" width="5.5" style="45" customWidth="1"/>
    <col min="3" max="3" width="17.640625" style="48" customWidth="1"/>
    <col min="4" max="4" width="35.640625" style="48" customWidth="1"/>
    <col min="5" max="5" width="7.640625" style="50" customWidth="1"/>
    <col min="6" max="8" width="40.640625" style="53" customWidth="1"/>
    <col min="9" max="16384" width="9.140625" style="42"/>
  </cols>
  <sheetData>
    <row r="1" spans="1:8">
      <c r="A1" s="54" t="s">
        <v>0</v>
      </c>
      <c r="B1" s="43" t="s">
        <v>170</v>
      </c>
      <c r="C1" s="46" t="s">
        <v>171</v>
      </c>
      <c r="D1" s="46" t="s">
        <v>172</v>
      </c>
      <c r="E1" s="49" t="s">
        <v>173</v>
      </c>
      <c r="F1" s="51" t="s">
        <v>174</v>
      </c>
      <c r="G1" s="51" t="s">
        <v>175</v>
      </c>
      <c r="H1" s="51" t="s">
        <v>176</v>
      </c>
    </row>
    <row r="2" spans="1:8" ht="23.15">
      <c r="A2" s="55" t="s">
        <v>3</v>
      </c>
      <c r="B2" s="44" t="s">
        <v>177</v>
      </c>
      <c r="C2" s="47" t="s">
        <v>178</v>
      </c>
      <c r="D2" s="47" t="s">
        <v>1039</v>
      </c>
      <c r="E2" s="50">
        <v>8</v>
      </c>
      <c r="F2" s="52" t="s">
        <v>1040</v>
      </c>
      <c r="G2" s="52" t="s">
        <v>1041</v>
      </c>
      <c r="H2" s="52" t="s">
        <v>1042</v>
      </c>
    </row>
    <row r="3" spans="1:8" ht="23.15">
      <c r="A3" s="55" t="s">
        <v>3</v>
      </c>
      <c r="B3" s="44" t="s">
        <v>233</v>
      </c>
      <c r="C3" s="47" t="s">
        <v>178</v>
      </c>
      <c r="D3" s="47" t="s">
        <v>1083</v>
      </c>
      <c r="E3" s="50">
        <v>10</v>
      </c>
      <c r="F3" s="52" t="s">
        <v>1084</v>
      </c>
      <c r="G3" s="52" t="s">
        <v>1085</v>
      </c>
      <c r="H3" s="52" t="s">
        <v>1086</v>
      </c>
    </row>
    <row r="4" spans="1:8" ht="23.15">
      <c r="A4" s="55" t="s">
        <v>3</v>
      </c>
      <c r="B4" s="44" t="s">
        <v>278</v>
      </c>
      <c r="C4" s="47" t="s">
        <v>178</v>
      </c>
      <c r="D4" s="47" t="s">
        <v>1127</v>
      </c>
      <c r="E4" s="50">
        <v>12</v>
      </c>
      <c r="F4" s="52" t="s">
        <v>1128</v>
      </c>
      <c r="G4" s="52" t="s">
        <v>1129</v>
      </c>
      <c r="H4" s="52" t="s">
        <v>1130</v>
      </c>
    </row>
    <row r="5" spans="1:8" ht="23.15">
      <c r="A5" s="55" t="s">
        <v>1432</v>
      </c>
      <c r="B5" s="44" t="s">
        <v>177</v>
      </c>
      <c r="C5" s="47" t="s">
        <v>457</v>
      </c>
      <c r="D5" s="47" t="s">
        <v>1433</v>
      </c>
      <c r="E5" s="50">
        <v>16</v>
      </c>
      <c r="F5" s="52" t="s">
        <v>1434</v>
      </c>
      <c r="G5" s="52" t="s">
        <v>1435</v>
      </c>
      <c r="H5" s="52" t="s">
        <v>1436</v>
      </c>
    </row>
    <row r="6" spans="1:8" ht="23.15">
      <c r="A6" s="55" t="s">
        <v>1171</v>
      </c>
      <c r="B6" s="44" t="s">
        <v>177</v>
      </c>
      <c r="C6" s="47" t="s">
        <v>457</v>
      </c>
      <c r="D6" s="47" t="s">
        <v>1172</v>
      </c>
      <c r="E6" s="50">
        <v>12</v>
      </c>
      <c r="F6" s="52" t="s">
        <v>1173</v>
      </c>
      <c r="G6" s="52" t="s">
        <v>1174</v>
      </c>
      <c r="H6" s="52" t="s">
        <v>1175</v>
      </c>
    </row>
    <row r="7" spans="1:8" ht="23.15">
      <c r="A7" s="55" t="s">
        <v>28</v>
      </c>
      <c r="B7" s="44" t="s">
        <v>177</v>
      </c>
      <c r="C7" s="47" t="s">
        <v>457</v>
      </c>
      <c r="D7" s="47" t="s">
        <v>1246</v>
      </c>
      <c r="E7" s="50">
        <v>22</v>
      </c>
      <c r="F7" s="52" t="s">
        <v>1247</v>
      </c>
      <c r="G7" s="52" t="s">
        <v>1248</v>
      </c>
      <c r="H7" s="52" t="s">
        <v>1249</v>
      </c>
    </row>
    <row r="8" spans="1:8" ht="23.15">
      <c r="A8" s="55" t="s">
        <v>11</v>
      </c>
      <c r="B8" s="44" t="s">
        <v>177</v>
      </c>
      <c r="C8" s="47" t="s">
        <v>457</v>
      </c>
      <c r="D8" s="47" t="s">
        <v>1322</v>
      </c>
      <c r="E8" s="50">
        <v>18</v>
      </c>
      <c r="F8" s="52" t="s">
        <v>1323</v>
      </c>
      <c r="G8" s="52" t="s">
        <v>1324</v>
      </c>
      <c r="H8" s="52" t="s">
        <v>1325</v>
      </c>
    </row>
    <row r="9" spans="1:8" ht="23.15">
      <c r="A9" s="55" t="s">
        <v>1432</v>
      </c>
      <c r="B9" s="44" t="s">
        <v>233</v>
      </c>
      <c r="C9" s="47" t="s">
        <v>457</v>
      </c>
      <c r="D9" s="47" t="s">
        <v>1457</v>
      </c>
      <c r="E9" s="50">
        <v>14</v>
      </c>
      <c r="F9" s="52" t="s">
        <v>1458</v>
      </c>
      <c r="G9" s="52" t="s">
        <v>1459</v>
      </c>
      <c r="H9" s="52" t="s">
        <v>1460</v>
      </c>
    </row>
    <row r="10" spans="1:8" ht="23.15">
      <c r="A10" s="55" t="s">
        <v>1171</v>
      </c>
      <c r="B10" s="44" t="s">
        <v>233</v>
      </c>
      <c r="C10" s="47" t="s">
        <v>457</v>
      </c>
      <c r="D10" s="47" t="s">
        <v>1197</v>
      </c>
      <c r="E10" s="50">
        <v>14</v>
      </c>
      <c r="F10" s="52" t="s">
        <v>1198</v>
      </c>
      <c r="G10" s="52" t="s">
        <v>1199</v>
      </c>
      <c r="H10" s="52" t="s">
        <v>1200</v>
      </c>
    </row>
    <row r="11" spans="1:8" ht="23.15">
      <c r="A11" s="55" t="s">
        <v>28</v>
      </c>
      <c r="B11" s="44" t="s">
        <v>233</v>
      </c>
      <c r="C11" s="47" t="s">
        <v>457</v>
      </c>
      <c r="D11" s="47" t="s">
        <v>1270</v>
      </c>
      <c r="E11" s="50">
        <v>16</v>
      </c>
      <c r="F11" s="52" t="s">
        <v>1271</v>
      </c>
      <c r="G11" s="52" t="s">
        <v>1272</v>
      </c>
      <c r="H11" s="52" t="s">
        <v>1273</v>
      </c>
    </row>
    <row r="12" spans="1:8" ht="23.15">
      <c r="A12" s="55" t="s">
        <v>11</v>
      </c>
      <c r="B12" s="44" t="s">
        <v>233</v>
      </c>
      <c r="C12" s="47" t="s">
        <v>457</v>
      </c>
      <c r="D12" s="47" t="s">
        <v>1343</v>
      </c>
      <c r="E12" s="50">
        <v>20</v>
      </c>
      <c r="F12" s="52" t="s">
        <v>1344</v>
      </c>
      <c r="G12" s="52" t="s">
        <v>1345</v>
      </c>
      <c r="H12" s="52" t="s">
        <v>1346</v>
      </c>
    </row>
    <row r="13" spans="1:8" ht="23.15">
      <c r="A13" s="55" t="s">
        <v>1432</v>
      </c>
      <c r="B13" s="44" t="s">
        <v>278</v>
      </c>
      <c r="C13" s="47" t="s">
        <v>457</v>
      </c>
      <c r="D13" s="47" t="s">
        <v>1481</v>
      </c>
      <c r="E13" s="50">
        <v>18</v>
      </c>
      <c r="F13" s="52" t="s">
        <v>1482</v>
      </c>
      <c r="G13" s="52" t="s">
        <v>1483</v>
      </c>
      <c r="H13" s="52" t="s">
        <v>1484</v>
      </c>
    </row>
    <row r="14" spans="1:8" ht="23.15">
      <c r="A14" s="55" t="s">
        <v>1180</v>
      </c>
      <c r="B14" s="44" t="s">
        <v>278</v>
      </c>
      <c r="C14" s="47" t="s">
        <v>457</v>
      </c>
      <c r="D14" s="47" t="s">
        <v>1221</v>
      </c>
      <c r="E14" s="50">
        <v>18</v>
      </c>
      <c r="F14" s="52" t="s">
        <v>1222</v>
      </c>
      <c r="G14" s="52" t="s">
        <v>1223</v>
      </c>
      <c r="H14" s="52" t="s">
        <v>1224</v>
      </c>
    </row>
    <row r="15" spans="1:8">
      <c r="A15" s="55" t="s">
        <v>28</v>
      </c>
      <c r="B15" s="44" t="s">
        <v>278</v>
      </c>
      <c r="C15" s="47" t="s">
        <v>457</v>
      </c>
      <c r="D15" s="47" t="s">
        <v>1294</v>
      </c>
      <c r="E15" s="50">
        <v>20</v>
      </c>
      <c r="F15" s="52" t="s">
        <v>1295</v>
      </c>
      <c r="G15" s="52" t="s">
        <v>1296</v>
      </c>
      <c r="H15" s="52" t="s">
        <v>1297</v>
      </c>
    </row>
    <row r="16" spans="1:8" ht="23.15">
      <c r="A16" s="55" t="s">
        <v>11</v>
      </c>
      <c r="B16" s="44" t="s">
        <v>278</v>
      </c>
      <c r="C16" s="47" t="s">
        <v>457</v>
      </c>
      <c r="D16" s="47" t="s">
        <v>1363</v>
      </c>
      <c r="E16" s="50">
        <v>20</v>
      </c>
      <c r="F16" s="52" t="s">
        <v>1364</v>
      </c>
      <c r="G16" s="52" t="s">
        <v>1365</v>
      </c>
      <c r="H16" s="52" t="s">
        <v>1366</v>
      </c>
    </row>
    <row r="17" spans="1:8">
      <c r="A17" s="55" t="s">
        <v>16</v>
      </c>
      <c r="B17" s="44" t="s">
        <v>177</v>
      </c>
      <c r="C17" s="47" t="s">
        <v>914</v>
      </c>
      <c r="D17" s="47" t="s">
        <v>1383</v>
      </c>
      <c r="E17" s="50">
        <v>45</v>
      </c>
      <c r="F17" s="52" t="s">
        <v>1384</v>
      </c>
      <c r="G17" s="52" t="s">
        <v>1385</v>
      </c>
      <c r="H17" s="52" t="s">
        <v>1386</v>
      </c>
    </row>
    <row r="18" spans="1:8" ht="23.15">
      <c r="A18" s="55" t="s">
        <v>1419</v>
      </c>
      <c r="B18" s="44" t="s">
        <v>177</v>
      </c>
      <c r="C18" s="47" t="s">
        <v>914</v>
      </c>
      <c r="D18" s="47" t="s">
        <v>1420</v>
      </c>
      <c r="E18" s="50">
        <v>70</v>
      </c>
      <c r="F18" s="52" t="s">
        <v>1421</v>
      </c>
      <c r="G18" s="52" t="s">
        <v>1422</v>
      </c>
      <c r="H18" s="52" t="s">
        <v>1423</v>
      </c>
    </row>
    <row r="19" spans="1:8" ht="23.15">
      <c r="A19" s="55" t="s">
        <v>24</v>
      </c>
      <c r="B19" s="44" t="s">
        <v>177</v>
      </c>
      <c r="C19" s="47" t="s">
        <v>914</v>
      </c>
      <c r="D19" s="47" t="s">
        <v>1505</v>
      </c>
      <c r="E19" s="50">
        <v>35</v>
      </c>
      <c r="F19" s="52" t="s">
        <v>1506</v>
      </c>
      <c r="G19" s="52" t="s">
        <v>1507</v>
      </c>
      <c r="H19" s="52" t="s">
        <v>1508</v>
      </c>
    </row>
    <row r="20" spans="1:8" ht="23.15">
      <c r="A20" s="55" t="s">
        <v>31</v>
      </c>
      <c r="B20" s="44" t="s">
        <v>177</v>
      </c>
      <c r="C20" s="47" t="s">
        <v>914</v>
      </c>
      <c r="D20" s="47" t="s">
        <v>1395</v>
      </c>
      <c r="E20" s="50">
        <v>45</v>
      </c>
      <c r="F20" s="52" t="s">
        <v>1396</v>
      </c>
      <c r="G20" s="52" t="s">
        <v>1397</v>
      </c>
      <c r="H20" s="52" t="s">
        <v>1398</v>
      </c>
    </row>
    <row r="21" spans="1:8" ht="23.15">
      <c r="A21" s="55" t="s">
        <v>32</v>
      </c>
      <c r="B21" s="44" t="s">
        <v>177</v>
      </c>
      <c r="C21" s="47" t="s">
        <v>914</v>
      </c>
      <c r="D21" s="47" t="s">
        <v>1407</v>
      </c>
      <c r="E21" s="50">
        <v>105</v>
      </c>
      <c r="F21" s="52" t="s">
        <v>1408</v>
      </c>
      <c r="G21" s="52" t="s">
        <v>1409</v>
      </c>
      <c r="H21" s="52" t="s">
        <v>1410</v>
      </c>
    </row>
    <row r="22" spans="1:8" ht="23.15">
      <c r="A22" s="55" t="s">
        <v>16</v>
      </c>
      <c r="B22" s="44" t="s">
        <v>233</v>
      </c>
      <c r="C22" s="47" t="s">
        <v>914</v>
      </c>
      <c r="D22" s="47" t="s">
        <v>1387</v>
      </c>
      <c r="E22" s="50">
        <v>35</v>
      </c>
      <c r="F22" s="52" t="s">
        <v>1388</v>
      </c>
      <c r="G22" s="52" t="s">
        <v>1389</v>
      </c>
      <c r="H22" s="52" t="s">
        <v>1390</v>
      </c>
    </row>
    <row r="23" spans="1:8" ht="23.15">
      <c r="A23" s="55" t="s">
        <v>1419</v>
      </c>
      <c r="B23" s="44" t="s">
        <v>233</v>
      </c>
      <c r="C23" s="47" t="s">
        <v>914</v>
      </c>
      <c r="D23" s="47" t="s">
        <v>1424</v>
      </c>
      <c r="E23" s="50">
        <v>70</v>
      </c>
      <c r="F23" s="52" t="s">
        <v>1425</v>
      </c>
      <c r="G23" s="52" t="s">
        <v>1426</v>
      </c>
      <c r="H23" s="52" t="s">
        <v>1427</v>
      </c>
    </row>
    <row r="24" spans="1:8" ht="23.15">
      <c r="A24" s="55" t="s">
        <v>24</v>
      </c>
      <c r="B24" s="44" t="s">
        <v>233</v>
      </c>
      <c r="C24" s="47" t="s">
        <v>914</v>
      </c>
      <c r="D24" s="47" t="s">
        <v>1509</v>
      </c>
      <c r="E24" s="50">
        <v>35</v>
      </c>
      <c r="F24" s="52" t="s">
        <v>1510</v>
      </c>
      <c r="G24" s="52" t="s">
        <v>1511</v>
      </c>
      <c r="H24" s="52" t="s">
        <v>1512</v>
      </c>
    </row>
    <row r="25" spans="1:8" ht="23.15">
      <c r="A25" s="55" t="s">
        <v>31</v>
      </c>
      <c r="B25" s="44" t="s">
        <v>233</v>
      </c>
      <c r="C25" s="47" t="s">
        <v>914</v>
      </c>
      <c r="D25" s="47" t="s">
        <v>1399</v>
      </c>
      <c r="E25" s="50">
        <v>35</v>
      </c>
      <c r="F25" s="52" t="s">
        <v>1400</v>
      </c>
      <c r="G25" s="52" t="s">
        <v>1401</v>
      </c>
      <c r="H25" s="52" t="s">
        <v>1402</v>
      </c>
    </row>
    <row r="26" spans="1:8" ht="23.15">
      <c r="A26" s="55" t="s">
        <v>32</v>
      </c>
      <c r="B26" s="44" t="s">
        <v>233</v>
      </c>
      <c r="C26" s="47" t="s">
        <v>914</v>
      </c>
      <c r="D26" s="47" t="s">
        <v>1411</v>
      </c>
      <c r="E26" s="50">
        <v>105</v>
      </c>
      <c r="F26" s="52" t="s">
        <v>1412</v>
      </c>
      <c r="G26" s="52" t="s">
        <v>1413</v>
      </c>
      <c r="H26" s="52" t="s">
        <v>1414</v>
      </c>
    </row>
    <row r="27" spans="1:8" ht="23.15">
      <c r="A27" s="55" t="s">
        <v>16</v>
      </c>
      <c r="B27" s="44" t="s">
        <v>278</v>
      </c>
      <c r="C27" s="47" t="s">
        <v>914</v>
      </c>
      <c r="D27" s="47" t="s">
        <v>1391</v>
      </c>
      <c r="E27" s="50">
        <v>35</v>
      </c>
      <c r="F27" s="52" t="s">
        <v>1392</v>
      </c>
      <c r="G27" s="52" t="s">
        <v>1393</v>
      </c>
      <c r="H27" s="52" t="s">
        <v>1394</v>
      </c>
    </row>
    <row r="28" spans="1:8" ht="23.15">
      <c r="A28" s="55" t="s">
        <v>1419</v>
      </c>
      <c r="B28" s="44" t="s">
        <v>278</v>
      </c>
      <c r="C28" s="47" t="s">
        <v>914</v>
      </c>
      <c r="D28" s="47" t="s">
        <v>1428</v>
      </c>
      <c r="E28" s="50">
        <v>35</v>
      </c>
      <c r="F28" s="52" t="s">
        <v>1429</v>
      </c>
      <c r="G28" s="52" t="s">
        <v>1430</v>
      </c>
      <c r="H28" s="52" t="s">
        <v>1431</v>
      </c>
    </row>
    <row r="29" spans="1:8" ht="23.15">
      <c r="A29" s="55" t="s">
        <v>24</v>
      </c>
      <c r="B29" s="44" t="s">
        <v>278</v>
      </c>
      <c r="C29" s="47" t="s">
        <v>914</v>
      </c>
      <c r="D29" s="47" t="s">
        <v>1513</v>
      </c>
      <c r="E29" s="50">
        <v>35</v>
      </c>
      <c r="F29" s="52" t="s">
        <v>1514</v>
      </c>
      <c r="G29" s="52" t="s">
        <v>1515</v>
      </c>
      <c r="H29" s="52" t="s">
        <v>1516</v>
      </c>
    </row>
    <row r="30" spans="1:8" ht="23.15">
      <c r="A30" s="55" t="s">
        <v>31</v>
      </c>
      <c r="B30" s="44" t="s">
        <v>278</v>
      </c>
      <c r="C30" s="47" t="s">
        <v>914</v>
      </c>
      <c r="D30" s="47" t="s">
        <v>1403</v>
      </c>
      <c r="E30" s="50">
        <v>35</v>
      </c>
      <c r="F30" s="52" t="s">
        <v>1404</v>
      </c>
      <c r="G30" s="52" t="s">
        <v>1405</v>
      </c>
      <c r="H30" s="52" t="s">
        <v>1406</v>
      </c>
    </row>
    <row r="31" spans="1:8">
      <c r="A31" s="55" t="s">
        <v>32</v>
      </c>
      <c r="B31" s="44" t="s">
        <v>278</v>
      </c>
      <c r="C31" s="47" t="s">
        <v>914</v>
      </c>
      <c r="D31" s="47" t="s">
        <v>1415</v>
      </c>
      <c r="E31" s="50">
        <v>105</v>
      </c>
      <c r="F31" s="52" t="s">
        <v>1416</v>
      </c>
      <c r="G31" s="52" t="s">
        <v>1417</v>
      </c>
      <c r="H31" s="52" t="s">
        <v>1418</v>
      </c>
    </row>
    <row r="32" spans="1:8" ht="23.15">
      <c r="A32" s="55" t="s">
        <v>3</v>
      </c>
      <c r="B32" s="44" t="s">
        <v>177</v>
      </c>
      <c r="C32" s="47" t="s">
        <v>183</v>
      </c>
      <c r="D32" s="47" t="s">
        <v>1043</v>
      </c>
      <c r="E32" s="50">
        <v>12</v>
      </c>
      <c r="F32" s="52" t="s">
        <v>1044</v>
      </c>
      <c r="G32" s="52" t="s">
        <v>1045</v>
      </c>
      <c r="H32" s="52" t="s">
        <v>1046</v>
      </c>
    </row>
    <row r="33" spans="1:8" ht="23.15">
      <c r="A33" s="55" t="s">
        <v>3</v>
      </c>
      <c r="B33" s="44" t="s">
        <v>233</v>
      </c>
      <c r="C33" s="47" t="s">
        <v>183</v>
      </c>
      <c r="D33" s="47" t="s">
        <v>1087</v>
      </c>
      <c r="E33" s="50">
        <v>8</v>
      </c>
      <c r="F33" s="52" t="s">
        <v>1088</v>
      </c>
      <c r="G33" s="52" t="s">
        <v>1089</v>
      </c>
      <c r="H33" s="52" t="s">
        <v>1090</v>
      </c>
    </row>
    <row r="34" spans="1:8">
      <c r="A34" s="55" t="s">
        <v>3</v>
      </c>
      <c r="B34" s="44" t="s">
        <v>278</v>
      </c>
      <c r="C34" s="47" t="s">
        <v>183</v>
      </c>
      <c r="D34" s="47" t="s">
        <v>1131</v>
      </c>
      <c r="E34" s="50">
        <v>8</v>
      </c>
      <c r="F34" s="52" t="s">
        <v>1132</v>
      </c>
      <c r="G34" s="52" t="s">
        <v>1133</v>
      </c>
      <c r="H34" s="52" t="s">
        <v>1134</v>
      </c>
    </row>
    <row r="35" spans="1:8">
      <c r="A35" s="55" t="s">
        <v>3</v>
      </c>
      <c r="B35" s="44" t="s">
        <v>177</v>
      </c>
      <c r="C35" s="47" t="s">
        <v>188</v>
      </c>
      <c r="D35" s="47" t="s">
        <v>1047</v>
      </c>
      <c r="E35" s="50">
        <v>10</v>
      </c>
      <c r="F35" s="52" t="s">
        <v>1048</v>
      </c>
      <c r="G35" s="52" t="s">
        <v>1049</v>
      </c>
      <c r="H35" s="52" t="s">
        <v>1050</v>
      </c>
    </row>
    <row r="36" spans="1:8">
      <c r="A36" s="55" t="s">
        <v>3</v>
      </c>
      <c r="B36" s="44" t="s">
        <v>233</v>
      </c>
      <c r="C36" s="47" t="s">
        <v>188</v>
      </c>
      <c r="D36" s="47" t="s">
        <v>1091</v>
      </c>
      <c r="E36" s="50">
        <v>12</v>
      </c>
      <c r="F36" s="52" t="s">
        <v>1092</v>
      </c>
      <c r="G36" s="52" t="s">
        <v>1093</v>
      </c>
      <c r="H36" s="52" t="s">
        <v>1094</v>
      </c>
    </row>
    <row r="37" spans="1:8">
      <c r="A37" s="55" t="s">
        <v>3</v>
      </c>
      <c r="B37" s="44" t="s">
        <v>278</v>
      </c>
      <c r="C37" s="47" t="s">
        <v>188</v>
      </c>
      <c r="D37" s="47" t="s">
        <v>1135</v>
      </c>
      <c r="E37" s="50">
        <v>10</v>
      </c>
      <c r="F37" s="52" t="s">
        <v>1136</v>
      </c>
      <c r="G37" s="52" t="s">
        <v>1137</v>
      </c>
      <c r="H37" s="52" t="s">
        <v>1138</v>
      </c>
    </row>
    <row r="38" spans="1:8" ht="23.15">
      <c r="A38" s="55" t="s">
        <v>1432</v>
      </c>
      <c r="B38" s="44" t="s">
        <v>177</v>
      </c>
      <c r="C38" s="47" t="s">
        <v>462</v>
      </c>
      <c r="D38" s="47" t="s">
        <v>1437</v>
      </c>
      <c r="E38" s="50">
        <v>20</v>
      </c>
      <c r="F38" s="52" t="s">
        <v>1438</v>
      </c>
      <c r="G38" s="52" t="s">
        <v>1439</v>
      </c>
      <c r="H38" s="52" t="s">
        <v>1440</v>
      </c>
    </row>
    <row r="39" spans="1:8" ht="23.15">
      <c r="A39" s="55" t="s">
        <v>1171</v>
      </c>
      <c r="B39" s="44" t="s">
        <v>177</v>
      </c>
      <c r="C39" s="47" t="s">
        <v>462</v>
      </c>
      <c r="D39" s="47" t="s">
        <v>1176</v>
      </c>
      <c r="E39" s="50">
        <v>16</v>
      </c>
      <c r="F39" s="52" t="s">
        <v>1177</v>
      </c>
      <c r="G39" s="52" t="s">
        <v>1178</v>
      </c>
      <c r="H39" s="52" t="s">
        <v>1179</v>
      </c>
    </row>
    <row r="40" spans="1:8">
      <c r="A40" s="55" t="s">
        <v>28</v>
      </c>
      <c r="B40" s="44" t="s">
        <v>177</v>
      </c>
      <c r="C40" s="47" t="s">
        <v>462</v>
      </c>
      <c r="D40" s="47" t="s">
        <v>1250</v>
      </c>
      <c r="E40" s="50">
        <v>18</v>
      </c>
      <c r="F40" s="52" t="s">
        <v>1251</v>
      </c>
      <c r="G40" s="52" t="s">
        <v>1252</v>
      </c>
      <c r="H40" s="52" t="s">
        <v>1253</v>
      </c>
    </row>
    <row r="41" spans="1:8" ht="23.15">
      <c r="A41" s="55" t="s">
        <v>11</v>
      </c>
      <c r="B41" s="44" t="s">
        <v>177</v>
      </c>
      <c r="C41" s="47" t="s">
        <v>462</v>
      </c>
      <c r="D41" s="47" t="s">
        <v>1326</v>
      </c>
      <c r="E41" s="50">
        <v>18</v>
      </c>
      <c r="F41" s="52" t="s">
        <v>1327</v>
      </c>
      <c r="G41" s="52" t="s">
        <v>1328</v>
      </c>
      <c r="H41" s="52" t="s">
        <v>1329</v>
      </c>
    </row>
    <row r="42" spans="1:8" ht="23.15">
      <c r="A42" s="55" t="s">
        <v>1432</v>
      </c>
      <c r="B42" s="44" t="s">
        <v>233</v>
      </c>
      <c r="C42" s="47" t="s">
        <v>462</v>
      </c>
      <c r="D42" s="47" t="s">
        <v>1461</v>
      </c>
      <c r="E42" s="50">
        <v>18</v>
      </c>
      <c r="F42" s="52" t="s">
        <v>1462</v>
      </c>
      <c r="G42" s="52" t="s">
        <v>1463</v>
      </c>
      <c r="H42" s="52" t="s">
        <v>1464</v>
      </c>
    </row>
    <row r="43" spans="1:8" ht="23.15">
      <c r="A43" s="55" t="s">
        <v>1171</v>
      </c>
      <c r="B43" s="44" t="s">
        <v>233</v>
      </c>
      <c r="C43" s="47" t="s">
        <v>462</v>
      </c>
      <c r="D43" s="47" t="s">
        <v>1201</v>
      </c>
      <c r="E43" s="50">
        <v>20</v>
      </c>
      <c r="F43" s="52" t="s">
        <v>1202</v>
      </c>
      <c r="G43" s="52" t="s">
        <v>1203</v>
      </c>
      <c r="H43" s="52" t="s">
        <v>1204</v>
      </c>
    </row>
    <row r="44" spans="1:8">
      <c r="A44" s="55" t="s">
        <v>28</v>
      </c>
      <c r="B44" s="44" t="s">
        <v>233</v>
      </c>
      <c r="C44" s="47" t="s">
        <v>462</v>
      </c>
      <c r="D44" s="47" t="s">
        <v>1274</v>
      </c>
      <c r="E44" s="50">
        <v>18</v>
      </c>
      <c r="F44" s="52" t="s">
        <v>1275</v>
      </c>
      <c r="G44" s="52" t="s">
        <v>1276</v>
      </c>
      <c r="H44" s="52" t="s">
        <v>1277</v>
      </c>
    </row>
    <row r="45" spans="1:8" ht="23.15">
      <c r="A45" s="55" t="s">
        <v>11</v>
      </c>
      <c r="B45" s="44" t="s">
        <v>233</v>
      </c>
      <c r="C45" s="47" t="s">
        <v>462</v>
      </c>
      <c r="D45" s="47" t="s">
        <v>1347</v>
      </c>
      <c r="E45" s="50">
        <v>18</v>
      </c>
      <c r="F45" s="52" t="s">
        <v>1348</v>
      </c>
      <c r="G45" s="52" t="s">
        <v>1349</v>
      </c>
      <c r="H45" s="52" t="s">
        <v>1350</v>
      </c>
    </row>
    <row r="46" spans="1:8">
      <c r="A46" s="55" t="s">
        <v>1432</v>
      </c>
      <c r="B46" s="44" t="s">
        <v>278</v>
      </c>
      <c r="C46" s="47" t="s">
        <v>462</v>
      </c>
      <c r="D46" s="47" t="s">
        <v>1485</v>
      </c>
      <c r="E46" s="50">
        <v>14</v>
      </c>
      <c r="F46" s="52" t="s">
        <v>1486</v>
      </c>
      <c r="G46" s="52" t="s">
        <v>1487</v>
      </c>
      <c r="H46" s="52" t="s">
        <v>1488</v>
      </c>
    </row>
    <row r="47" spans="1:8">
      <c r="A47" s="55" t="s">
        <v>1180</v>
      </c>
      <c r="B47" s="44" t="s">
        <v>278</v>
      </c>
      <c r="C47" s="47" t="s">
        <v>462</v>
      </c>
      <c r="D47" s="47" t="s">
        <v>1225</v>
      </c>
      <c r="E47" s="50">
        <v>12</v>
      </c>
      <c r="F47" s="52" t="s">
        <v>1226</v>
      </c>
      <c r="G47" s="52" t="s">
        <v>1227</v>
      </c>
      <c r="H47" s="52" t="s">
        <v>1228</v>
      </c>
    </row>
    <row r="48" spans="1:8">
      <c r="A48" s="55" t="s">
        <v>28</v>
      </c>
      <c r="B48" s="44" t="s">
        <v>278</v>
      </c>
      <c r="C48" s="47" t="s">
        <v>462</v>
      </c>
      <c r="D48" s="47" t="s">
        <v>1298</v>
      </c>
      <c r="E48" s="50">
        <v>16</v>
      </c>
      <c r="F48" s="52" t="s">
        <v>1299</v>
      </c>
      <c r="G48" s="52" t="s">
        <v>1300</v>
      </c>
      <c r="H48" s="52" t="s">
        <v>1301</v>
      </c>
    </row>
    <row r="49" spans="1:8" ht="23.15">
      <c r="A49" s="55" t="s">
        <v>11</v>
      </c>
      <c r="B49" s="44" t="s">
        <v>278</v>
      </c>
      <c r="C49" s="47" t="s">
        <v>462</v>
      </c>
      <c r="D49" s="47" t="s">
        <v>1367</v>
      </c>
      <c r="E49" s="50">
        <v>16</v>
      </c>
      <c r="F49" s="52" t="s">
        <v>1368</v>
      </c>
      <c r="G49" s="52" t="s">
        <v>1369</v>
      </c>
      <c r="H49" s="52" t="s">
        <v>1370</v>
      </c>
    </row>
    <row r="50" spans="1:8">
      <c r="A50" s="55" t="s">
        <v>3</v>
      </c>
      <c r="B50" s="44" t="s">
        <v>177</v>
      </c>
      <c r="C50" s="47" t="s">
        <v>193</v>
      </c>
      <c r="D50" s="47" t="s">
        <v>1051</v>
      </c>
      <c r="E50" s="50">
        <v>6</v>
      </c>
      <c r="F50" s="52" t="s">
        <v>1052</v>
      </c>
      <c r="G50" s="52" t="s">
        <v>1053</v>
      </c>
      <c r="H50" s="52" t="s">
        <v>1054</v>
      </c>
    </row>
    <row r="51" spans="1:8" ht="23.15">
      <c r="A51" s="55" t="s">
        <v>3</v>
      </c>
      <c r="B51" s="44" t="s">
        <v>233</v>
      </c>
      <c r="C51" s="47" t="s">
        <v>193</v>
      </c>
      <c r="D51" s="47" t="s">
        <v>1095</v>
      </c>
      <c r="E51" s="50">
        <v>8</v>
      </c>
      <c r="F51" s="52" t="s">
        <v>1096</v>
      </c>
      <c r="G51" s="52" t="s">
        <v>1097</v>
      </c>
      <c r="H51" s="52" t="s">
        <v>1098</v>
      </c>
    </row>
    <row r="52" spans="1:8" ht="23.15">
      <c r="A52" s="55" t="s">
        <v>3</v>
      </c>
      <c r="B52" s="44" t="s">
        <v>278</v>
      </c>
      <c r="C52" s="47" t="s">
        <v>193</v>
      </c>
      <c r="D52" s="47" t="s">
        <v>1139</v>
      </c>
      <c r="E52" s="50">
        <v>8</v>
      </c>
      <c r="F52" s="52" t="s">
        <v>1140</v>
      </c>
      <c r="G52" s="52" t="s">
        <v>1141</v>
      </c>
      <c r="H52" s="52" t="s">
        <v>1142</v>
      </c>
    </row>
    <row r="53" spans="1:8">
      <c r="A53" s="55" t="s">
        <v>3</v>
      </c>
      <c r="B53" s="44" t="s">
        <v>177</v>
      </c>
      <c r="C53" s="47" t="s">
        <v>198</v>
      </c>
      <c r="D53" s="47" t="s">
        <v>1055</v>
      </c>
      <c r="E53" s="50">
        <v>10</v>
      </c>
      <c r="F53" s="52" t="s">
        <v>1056</v>
      </c>
      <c r="G53" s="52" t="s">
        <v>1057</v>
      </c>
      <c r="H53" s="52" t="s">
        <v>1058</v>
      </c>
    </row>
    <row r="54" spans="1:8" ht="23.15">
      <c r="A54" s="55" t="s">
        <v>3</v>
      </c>
      <c r="B54" s="44" t="s">
        <v>233</v>
      </c>
      <c r="C54" s="47" t="s">
        <v>198</v>
      </c>
      <c r="D54" s="47" t="s">
        <v>1099</v>
      </c>
      <c r="E54" s="50">
        <v>14</v>
      </c>
      <c r="F54" s="52" t="s">
        <v>1100</v>
      </c>
      <c r="G54" s="52" t="s">
        <v>1101</v>
      </c>
      <c r="H54" s="52" t="s">
        <v>1102</v>
      </c>
    </row>
    <row r="55" spans="1:8" ht="23.15">
      <c r="A55" s="55" t="s">
        <v>3</v>
      </c>
      <c r="B55" s="44" t="s">
        <v>278</v>
      </c>
      <c r="C55" s="47" t="s">
        <v>198</v>
      </c>
      <c r="D55" s="47" t="s">
        <v>1143</v>
      </c>
      <c r="E55" s="50">
        <v>14</v>
      </c>
      <c r="F55" s="52" t="s">
        <v>1144</v>
      </c>
      <c r="G55" s="52" t="s">
        <v>1145</v>
      </c>
      <c r="H55" s="52" t="s">
        <v>1146</v>
      </c>
    </row>
    <row r="56" spans="1:8" ht="23.15">
      <c r="A56" s="55" t="s">
        <v>1432</v>
      </c>
      <c r="B56" s="44" t="s">
        <v>177</v>
      </c>
      <c r="C56" s="47" t="s">
        <v>467</v>
      </c>
      <c r="D56" s="47" t="s">
        <v>1441</v>
      </c>
      <c r="E56" s="50">
        <v>20</v>
      </c>
      <c r="F56" s="52" t="s">
        <v>1442</v>
      </c>
      <c r="G56" s="52" t="s">
        <v>1443</v>
      </c>
      <c r="H56" s="52" t="s">
        <v>1444</v>
      </c>
    </row>
    <row r="57" spans="1:8" ht="23.15">
      <c r="A57" s="55" t="s">
        <v>1180</v>
      </c>
      <c r="B57" s="44" t="s">
        <v>177</v>
      </c>
      <c r="C57" s="47" t="s">
        <v>467</v>
      </c>
      <c r="D57" s="47" t="s">
        <v>1181</v>
      </c>
      <c r="E57" s="50">
        <v>18</v>
      </c>
      <c r="F57" s="52" t="s">
        <v>1182</v>
      </c>
      <c r="G57" s="52" t="s">
        <v>1183</v>
      </c>
      <c r="H57" s="52" t="s">
        <v>1184</v>
      </c>
    </row>
    <row r="58" spans="1:8" ht="23.15">
      <c r="A58" s="55" t="s">
        <v>28</v>
      </c>
      <c r="B58" s="44" t="s">
        <v>177</v>
      </c>
      <c r="C58" s="47" t="s">
        <v>467</v>
      </c>
      <c r="D58" s="47" t="s">
        <v>1254</v>
      </c>
      <c r="E58" s="50">
        <v>18</v>
      </c>
      <c r="F58" s="52" t="s">
        <v>1255</v>
      </c>
      <c r="G58" s="52" t="s">
        <v>1256</v>
      </c>
      <c r="H58" s="52" t="s">
        <v>1257</v>
      </c>
    </row>
    <row r="59" spans="1:8" ht="23.15">
      <c r="A59" s="55" t="s">
        <v>11</v>
      </c>
      <c r="B59" s="44" t="s">
        <v>177</v>
      </c>
      <c r="C59" s="47" t="s">
        <v>467</v>
      </c>
      <c r="D59" s="47" t="s">
        <v>1330</v>
      </c>
      <c r="E59" s="50">
        <v>18</v>
      </c>
      <c r="F59" s="52" t="s">
        <v>1331</v>
      </c>
      <c r="G59" s="52" t="s">
        <v>1332</v>
      </c>
      <c r="H59" s="52" t="s">
        <v>1333</v>
      </c>
    </row>
    <row r="60" spans="1:8" ht="23.15">
      <c r="A60" s="55" t="s">
        <v>1432</v>
      </c>
      <c r="B60" s="44" t="s">
        <v>233</v>
      </c>
      <c r="C60" s="47" t="s">
        <v>467</v>
      </c>
      <c r="D60" s="47" t="s">
        <v>1465</v>
      </c>
      <c r="E60" s="50">
        <v>20</v>
      </c>
      <c r="F60" s="52" t="s">
        <v>1466</v>
      </c>
      <c r="G60" s="52" t="s">
        <v>1467</v>
      </c>
      <c r="H60" s="52" t="s">
        <v>1468</v>
      </c>
    </row>
    <row r="61" spans="1:8">
      <c r="A61" s="55" t="s">
        <v>1180</v>
      </c>
      <c r="B61" s="44" t="s">
        <v>233</v>
      </c>
      <c r="C61" s="47" t="s">
        <v>467</v>
      </c>
      <c r="D61" s="47" t="s">
        <v>1205</v>
      </c>
      <c r="E61" s="50">
        <v>18</v>
      </c>
      <c r="F61" s="52" t="s">
        <v>1206</v>
      </c>
      <c r="G61" s="52" t="s">
        <v>1207</v>
      </c>
      <c r="H61" s="52" t="s">
        <v>1208</v>
      </c>
    </row>
    <row r="62" spans="1:8" ht="23.15">
      <c r="A62" s="55" t="s">
        <v>28</v>
      </c>
      <c r="B62" s="44" t="s">
        <v>233</v>
      </c>
      <c r="C62" s="47" t="s">
        <v>467</v>
      </c>
      <c r="D62" s="47" t="s">
        <v>1278</v>
      </c>
      <c r="E62" s="50">
        <v>20</v>
      </c>
      <c r="F62" s="52" t="s">
        <v>1279</v>
      </c>
      <c r="G62" s="52" t="s">
        <v>1280</v>
      </c>
      <c r="H62" s="52" t="s">
        <v>1281</v>
      </c>
    </row>
    <row r="63" spans="1:8" ht="23.15">
      <c r="A63" s="55" t="s">
        <v>11</v>
      </c>
      <c r="B63" s="44" t="s">
        <v>233</v>
      </c>
      <c r="C63" s="47" t="s">
        <v>467</v>
      </c>
      <c r="D63" s="47" t="s">
        <v>1351</v>
      </c>
      <c r="E63" s="50">
        <v>22</v>
      </c>
      <c r="F63" s="52" t="s">
        <v>1352</v>
      </c>
      <c r="G63" s="52" t="s">
        <v>1353</v>
      </c>
      <c r="H63" s="52" t="s">
        <v>1354</v>
      </c>
    </row>
    <row r="64" spans="1:8" ht="23.15">
      <c r="A64" s="55" t="s">
        <v>1432</v>
      </c>
      <c r="B64" s="44" t="s">
        <v>278</v>
      </c>
      <c r="C64" s="47" t="s">
        <v>467</v>
      </c>
      <c r="D64" s="47" t="s">
        <v>1489</v>
      </c>
      <c r="E64" s="50">
        <v>22</v>
      </c>
      <c r="F64" s="52" t="s">
        <v>1490</v>
      </c>
      <c r="G64" s="52" t="s">
        <v>1491</v>
      </c>
      <c r="H64" s="52" t="s">
        <v>1492</v>
      </c>
    </row>
    <row r="65" spans="1:8" ht="23.15">
      <c r="A65" s="55" t="s">
        <v>1229</v>
      </c>
      <c r="B65" s="44" t="s">
        <v>278</v>
      </c>
      <c r="C65" s="47" t="s">
        <v>467</v>
      </c>
      <c r="D65" s="47" t="s">
        <v>1230</v>
      </c>
      <c r="E65" s="50">
        <v>18</v>
      </c>
      <c r="F65" s="52" t="s">
        <v>1231</v>
      </c>
      <c r="G65" s="52" t="s">
        <v>1232</v>
      </c>
      <c r="H65" s="52" t="s">
        <v>1233</v>
      </c>
    </row>
    <row r="66" spans="1:8" ht="23.15">
      <c r="A66" s="55" t="s">
        <v>28</v>
      </c>
      <c r="B66" s="44" t="s">
        <v>278</v>
      </c>
      <c r="C66" s="47" t="s">
        <v>467</v>
      </c>
      <c r="D66" s="47" t="s">
        <v>1302</v>
      </c>
      <c r="E66" s="50">
        <v>16</v>
      </c>
      <c r="F66" s="52" t="s">
        <v>1303</v>
      </c>
      <c r="G66" s="52" t="s">
        <v>1304</v>
      </c>
      <c r="H66" s="52" t="s">
        <v>1305</v>
      </c>
    </row>
    <row r="67" spans="1:8" ht="23.15">
      <c r="A67" s="55" t="s">
        <v>11</v>
      </c>
      <c r="B67" s="44" t="s">
        <v>278</v>
      </c>
      <c r="C67" s="47" t="s">
        <v>467</v>
      </c>
      <c r="D67" s="47" t="s">
        <v>1371</v>
      </c>
      <c r="E67" s="50">
        <v>18</v>
      </c>
      <c r="F67" s="52" t="s">
        <v>1372</v>
      </c>
      <c r="G67" s="52" t="s">
        <v>1373</v>
      </c>
      <c r="H67" s="52" t="s">
        <v>1374</v>
      </c>
    </row>
    <row r="68" spans="1:8" ht="23.15">
      <c r="A68" s="55" t="s">
        <v>3</v>
      </c>
      <c r="B68" s="44" t="s">
        <v>177</v>
      </c>
      <c r="C68" s="47" t="s">
        <v>203</v>
      </c>
      <c r="D68" s="47" t="s">
        <v>1059</v>
      </c>
      <c r="E68" s="50">
        <v>14</v>
      </c>
      <c r="F68" s="52" t="s">
        <v>1060</v>
      </c>
      <c r="G68" s="52" t="s">
        <v>1061</v>
      </c>
      <c r="H68" s="52" t="s">
        <v>1062</v>
      </c>
    </row>
    <row r="69" spans="1:8" ht="23.15">
      <c r="A69" s="55" t="s">
        <v>3</v>
      </c>
      <c r="B69" s="44" t="s">
        <v>233</v>
      </c>
      <c r="C69" s="47" t="s">
        <v>203</v>
      </c>
      <c r="D69" s="47" t="s">
        <v>1103</v>
      </c>
      <c r="E69" s="50">
        <v>12</v>
      </c>
      <c r="F69" s="52" t="s">
        <v>1104</v>
      </c>
      <c r="G69" s="52" t="s">
        <v>1105</v>
      </c>
      <c r="H69" s="52" t="s">
        <v>1106</v>
      </c>
    </row>
    <row r="70" spans="1:8" ht="23.15">
      <c r="A70" s="55" t="s">
        <v>3</v>
      </c>
      <c r="B70" s="44" t="s">
        <v>278</v>
      </c>
      <c r="C70" s="47" t="s">
        <v>203</v>
      </c>
      <c r="D70" s="47" t="s">
        <v>1147</v>
      </c>
      <c r="E70" s="50">
        <v>12</v>
      </c>
      <c r="F70" s="52" t="s">
        <v>1148</v>
      </c>
      <c r="G70" s="52" t="s">
        <v>1149</v>
      </c>
      <c r="H70" s="52" t="s">
        <v>1150</v>
      </c>
    </row>
    <row r="71" spans="1:8" ht="23.15">
      <c r="A71" s="55" t="s">
        <v>3</v>
      </c>
      <c r="B71" s="44" t="s">
        <v>177</v>
      </c>
      <c r="C71" s="47" t="s">
        <v>208</v>
      </c>
      <c r="D71" s="47" t="s">
        <v>1063</v>
      </c>
      <c r="E71" s="50">
        <v>10</v>
      </c>
      <c r="F71" s="52" t="s">
        <v>1064</v>
      </c>
      <c r="G71" s="52" t="s">
        <v>1065</v>
      </c>
      <c r="H71" s="52" t="s">
        <v>1066</v>
      </c>
    </row>
    <row r="72" spans="1:8">
      <c r="A72" s="55" t="s">
        <v>3</v>
      </c>
      <c r="B72" s="44" t="s">
        <v>233</v>
      </c>
      <c r="C72" s="47" t="s">
        <v>208</v>
      </c>
      <c r="D72" s="47" t="s">
        <v>1107</v>
      </c>
      <c r="E72" s="50">
        <v>10</v>
      </c>
      <c r="F72" s="52" t="s">
        <v>1108</v>
      </c>
      <c r="G72" s="52" t="s">
        <v>1109</v>
      </c>
      <c r="H72" s="52" t="s">
        <v>1110</v>
      </c>
    </row>
    <row r="73" spans="1:8" ht="23.15">
      <c r="A73" s="55" t="s">
        <v>3</v>
      </c>
      <c r="B73" s="44" t="s">
        <v>278</v>
      </c>
      <c r="C73" s="47" t="s">
        <v>208</v>
      </c>
      <c r="D73" s="47" t="s">
        <v>1151</v>
      </c>
      <c r="E73" s="50">
        <v>10</v>
      </c>
      <c r="F73" s="52" t="s">
        <v>1152</v>
      </c>
      <c r="G73" s="52" t="s">
        <v>1153</v>
      </c>
      <c r="H73" s="52" t="s">
        <v>1154</v>
      </c>
    </row>
    <row r="74" spans="1:8" ht="23.15">
      <c r="A74" s="55" t="s">
        <v>28</v>
      </c>
      <c r="B74" s="44" t="s">
        <v>278</v>
      </c>
      <c r="C74" s="47" t="s">
        <v>208</v>
      </c>
      <c r="D74" s="47" t="s">
        <v>1306</v>
      </c>
      <c r="E74" s="50">
        <v>16</v>
      </c>
      <c r="F74" s="52" t="s">
        <v>1307</v>
      </c>
      <c r="G74" s="52" t="s">
        <v>1308</v>
      </c>
      <c r="H74" s="52" t="s">
        <v>1309</v>
      </c>
    </row>
    <row r="75" spans="1:8" ht="23.15">
      <c r="A75" s="55" t="s">
        <v>1432</v>
      </c>
      <c r="B75" s="44" t="s">
        <v>177</v>
      </c>
      <c r="C75" s="47" t="s">
        <v>472</v>
      </c>
      <c r="D75" s="47" t="s">
        <v>1445</v>
      </c>
      <c r="E75" s="50">
        <v>20</v>
      </c>
      <c r="F75" s="52" t="s">
        <v>1446</v>
      </c>
      <c r="G75" s="52" t="s">
        <v>1447</v>
      </c>
      <c r="H75" s="52" t="s">
        <v>1448</v>
      </c>
    </row>
    <row r="76" spans="1:8">
      <c r="A76" s="55" t="s">
        <v>1180</v>
      </c>
      <c r="B76" s="44" t="s">
        <v>177</v>
      </c>
      <c r="C76" s="47" t="s">
        <v>472</v>
      </c>
      <c r="D76" s="47" t="s">
        <v>1185</v>
      </c>
      <c r="E76" s="50">
        <v>16</v>
      </c>
      <c r="F76" s="52" t="s">
        <v>1186</v>
      </c>
      <c r="G76" s="52" t="s">
        <v>1187</v>
      </c>
      <c r="H76" s="52" t="s">
        <v>1188</v>
      </c>
    </row>
    <row r="77" spans="1:8" ht="23.15">
      <c r="A77" s="55" t="s">
        <v>28</v>
      </c>
      <c r="B77" s="44" t="s">
        <v>177</v>
      </c>
      <c r="C77" s="47" t="s">
        <v>472</v>
      </c>
      <c r="D77" s="47" t="s">
        <v>1258</v>
      </c>
      <c r="E77" s="50">
        <v>18</v>
      </c>
      <c r="F77" s="52" t="s">
        <v>1259</v>
      </c>
      <c r="G77" s="52" t="s">
        <v>1260</v>
      </c>
      <c r="H77" s="52" t="s">
        <v>1261</v>
      </c>
    </row>
    <row r="78" spans="1:8" ht="23.15">
      <c r="A78" s="55" t="s">
        <v>11</v>
      </c>
      <c r="B78" s="44" t="s">
        <v>177</v>
      </c>
      <c r="C78" s="47" t="s">
        <v>472</v>
      </c>
      <c r="D78" s="47" t="s">
        <v>1334</v>
      </c>
      <c r="E78" s="50">
        <v>20</v>
      </c>
      <c r="F78" s="52" t="s">
        <v>1335</v>
      </c>
      <c r="G78" s="52" t="s">
        <v>1336</v>
      </c>
      <c r="H78" s="52" t="s">
        <v>1337</v>
      </c>
    </row>
    <row r="79" spans="1:8">
      <c r="A79" s="55" t="s">
        <v>1432</v>
      </c>
      <c r="B79" s="44" t="s">
        <v>233</v>
      </c>
      <c r="C79" s="47" t="s">
        <v>472</v>
      </c>
      <c r="D79" s="47" t="s">
        <v>1469</v>
      </c>
      <c r="E79" s="50">
        <v>16</v>
      </c>
      <c r="F79" s="52" t="s">
        <v>1470</v>
      </c>
      <c r="G79" s="52" t="s">
        <v>1471</v>
      </c>
      <c r="H79" s="52" t="s">
        <v>1472</v>
      </c>
    </row>
    <row r="80" spans="1:8" ht="23.15">
      <c r="A80" s="55" t="s">
        <v>1180</v>
      </c>
      <c r="B80" s="44" t="s">
        <v>233</v>
      </c>
      <c r="C80" s="47" t="s">
        <v>472</v>
      </c>
      <c r="D80" s="47" t="s">
        <v>1209</v>
      </c>
      <c r="E80" s="50">
        <v>16</v>
      </c>
      <c r="F80" s="52" t="s">
        <v>1210</v>
      </c>
      <c r="G80" s="52" t="s">
        <v>1211</v>
      </c>
      <c r="H80" s="52" t="s">
        <v>1212</v>
      </c>
    </row>
    <row r="81" spans="1:8">
      <c r="A81" s="55" t="s">
        <v>28</v>
      </c>
      <c r="B81" s="44" t="s">
        <v>233</v>
      </c>
      <c r="C81" s="47" t="s">
        <v>472</v>
      </c>
      <c r="D81" s="47" t="s">
        <v>1282</v>
      </c>
      <c r="E81" s="50">
        <v>22</v>
      </c>
      <c r="F81" s="52" t="s">
        <v>1283</v>
      </c>
      <c r="G81" s="52" t="s">
        <v>1284</v>
      </c>
      <c r="H81" s="52" t="s">
        <v>1285</v>
      </c>
    </row>
    <row r="82" spans="1:8" ht="23.15">
      <c r="A82" s="55" t="s">
        <v>11</v>
      </c>
      <c r="B82" s="44" t="s">
        <v>233</v>
      </c>
      <c r="C82" s="47" t="s">
        <v>472</v>
      </c>
      <c r="D82" s="47" t="s">
        <v>1355</v>
      </c>
      <c r="E82" s="50">
        <v>20</v>
      </c>
      <c r="F82" s="52" t="s">
        <v>1356</v>
      </c>
      <c r="G82" s="52" t="s">
        <v>1357</v>
      </c>
      <c r="H82" s="52" t="s">
        <v>1358</v>
      </c>
    </row>
    <row r="83" spans="1:8">
      <c r="A83" s="55" t="s">
        <v>1432</v>
      </c>
      <c r="B83" s="44" t="s">
        <v>278</v>
      </c>
      <c r="C83" s="47" t="s">
        <v>472</v>
      </c>
      <c r="D83" s="47" t="s">
        <v>1493</v>
      </c>
      <c r="E83" s="50">
        <v>18</v>
      </c>
      <c r="F83" s="52" t="s">
        <v>1494</v>
      </c>
      <c r="G83" s="52" t="s">
        <v>1495</v>
      </c>
      <c r="H83" s="52" t="s">
        <v>1496</v>
      </c>
    </row>
    <row r="84" spans="1:8">
      <c r="A84" s="55" t="s">
        <v>1229</v>
      </c>
      <c r="B84" s="44" t="s">
        <v>278</v>
      </c>
      <c r="C84" s="47" t="s">
        <v>472</v>
      </c>
      <c r="D84" s="47" t="s">
        <v>1234</v>
      </c>
      <c r="E84" s="50">
        <v>18</v>
      </c>
      <c r="F84" s="52" t="s">
        <v>1235</v>
      </c>
      <c r="G84" s="52" t="s">
        <v>1236</v>
      </c>
      <c r="H84" s="52" t="s">
        <v>1237</v>
      </c>
    </row>
    <row r="85" spans="1:8" ht="23.15">
      <c r="A85" s="55" t="s">
        <v>11</v>
      </c>
      <c r="B85" s="44" t="s">
        <v>278</v>
      </c>
      <c r="C85" s="47" t="s">
        <v>472</v>
      </c>
      <c r="D85" s="47" t="s">
        <v>1375</v>
      </c>
      <c r="E85" s="50">
        <v>20</v>
      </c>
      <c r="F85" s="52" t="s">
        <v>1376</v>
      </c>
      <c r="G85" s="52" t="s">
        <v>1377</v>
      </c>
      <c r="H85" s="52" t="s">
        <v>1378</v>
      </c>
    </row>
    <row r="86" spans="1:8" ht="23.15">
      <c r="A86" s="55" t="s">
        <v>3</v>
      </c>
      <c r="B86" s="44" t="s">
        <v>177</v>
      </c>
      <c r="C86" s="47" t="s">
        <v>213</v>
      </c>
      <c r="D86" s="47" t="s">
        <v>1067</v>
      </c>
      <c r="E86" s="50">
        <v>8</v>
      </c>
      <c r="F86" s="52" t="s">
        <v>1068</v>
      </c>
      <c r="G86" s="52" t="s">
        <v>1069</v>
      </c>
      <c r="H86" s="52" t="s">
        <v>1070</v>
      </c>
    </row>
    <row r="87" spans="1:8">
      <c r="A87" s="55" t="s">
        <v>3</v>
      </c>
      <c r="B87" s="44" t="s">
        <v>233</v>
      </c>
      <c r="C87" s="47" t="s">
        <v>213</v>
      </c>
      <c r="D87" s="47" t="s">
        <v>1111</v>
      </c>
      <c r="E87" s="50">
        <v>8</v>
      </c>
      <c r="F87" s="52" t="s">
        <v>1112</v>
      </c>
      <c r="G87" s="52" t="s">
        <v>1113</v>
      </c>
      <c r="H87" s="52" t="s">
        <v>1114</v>
      </c>
    </row>
    <row r="88" spans="1:8" ht="23.15">
      <c r="A88" s="55" t="s">
        <v>3</v>
      </c>
      <c r="B88" s="44" t="s">
        <v>278</v>
      </c>
      <c r="C88" s="47" t="s">
        <v>213</v>
      </c>
      <c r="D88" s="47" t="s">
        <v>1155</v>
      </c>
      <c r="E88" s="50">
        <v>8</v>
      </c>
      <c r="F88" s="52" t="s">
        <v>1156</v>
      </c>
      <c r="G88" s="52" t="s">
        <v>1157</v>
      </c>
      <c r="H88" s="52" t="s">
        <v>1158</v>
      </c>
    </row>
    <row r="89" spans="1:8" ht="23.15">
      <c r="A89" s="55" t="s">
        <v>28</v>
      </c>
      <c r="B89" s="44" t="s">
        <v>278</v>
      </c>
      <c r="C89" s="47" t="s">
        <v>833</v>
      </c>
      <c r="D89" s="47" t="s">
        <v>1310</v>
      </c>
      <c r="E89" s="50">
        <v>24</v>
      </c>
      <c r="F89" s="52" t="s">
        <v>1311</v>
      </c>
      <c r="G89" s="52" t="s">
        <v>1312</v>
      </c>
      <c r="H89" s="52" t="s">
        <v>1313</v>
      </c>
    </row>
    <row r="90" spans="1:8">
      <c r="A90" s="55" t="s">
        <v>3</v>
      </c>
      <c r="B90" s="44" t="s">
        <v>177</v>
      </c>
      <c r="C90" s="47" t="s">
        <v>218</v>
      </c>
      <c r="D90" s="47" t="s">
        <v>1071</v>
      </c>
      <c r="E90" s="50">
        <v>8</v>
      </c>
      <c r="F90" s="52" t="s">
        <v>1072</v>
      </c>
      <c r="G90" s="52" t="s">
        <v>1073</v>
      </c>
      <c r="H90" s="52" t="s">
        <v>1074</v>
      </c>
    </row>
    <row r="91" spans="1:8" ht="23.15">
      <c r="A91" s="55" t="s">
        <v>3</v>
      </c>
      <c r="B91" s="44" t="s">
        <v>233</v>
      </c>
      <c r="C91" s="47" t="s">
        <v>218</v>
      </c>
      <c r="D91" s="47" t="s">
        <v>1115</v>
      </c>
      <c r="E91" s="50">
        <v>10</v>
      </c>
      <c r="F91" s="52" t="s">
        <v>1116</v>
      </c>
      <c r="G91" s="52" t="s">
        <v>1117</v>
      </c>
      <c r="H91" s="52" t="s">
        <v>1118</v>
      </c>
    </row>
    <row r="92" spans="1:8" ht="23.15">
      <c r="A92" s="55" t="s">
        <v>3</v>
      </c>
      <c r="B92" s="44" t="s">
        <v>278</v>
      </c>
      <c r="C92" s="47" t="s">
        <v>218</v>
      </c>
      <c r="D92" s="47" t="s">
        <v>1159</v>
      </c>
      <c r="E92" s="50">
        <v>6</v>
      </c>
      <c r="F92" s="52" t="s">
        <v>1160</v>
      </c>
      <c r="G92" s="52" t="s">
        <v>1161</v>
      </c>
      <c r="H92" s="52" t="s">
        <v>1162</v>
      </c>
    </row>
    <row r="93" spans="1:8" ht="23.15">
      <c r="A93" s="55" t="s">
        <v>1432</v>
      </c>
      <c r="B93" s="44" t="s">
        <v>177</v>
      </c>
      <c r="C93" s="47" t="s">
        <v>477</v>
      </c>
      <c r="D93" s="47" t="s">
        <v>1449</v>
      </c>
      <c r="E93" s="50">
        <v>20</v>
      </c>
      <c r="F93" s="52" t="s">
        <v>1450</v>
      </c>
      <c r="G93" s="52" t="s">
        <v>1451</v>
      </c>
      <c r="H93" s="52" t="s">
        <v>1452</v>
      </c>
    </row>
    <row r="94" spans="1:8">
      <c r="A94" s="55" t="s">
        <v>1171</v>
      </c>
      <c r="B94" s="44" t="s">
        <v>177</v>
      </c>
      <c r="C94" s="47" t="s">
        <v>477</v>
      </c>
      <c r="D94" s="47" t="s">
        <v>1189</v>
      </c>
      <c r="E94" s="50">
        <v>14</v>
      </c>
      <c r="F94" s="52" t="s">
        <v>1190</v>
      </c>
      <c r="G94" s="52" t="s">
        <v>1191</v>
      </c>
      <c r="H94" s="52" t="s">
        <v>1192</v>
      </c>
    </row>
    <row r="95" spans="1:8" ht="23.15">
      <c r="A95" s="55" t="s">
        <v>28</v>
      </c>
      <c r="B95" s="44" t="s">
        <v>177</v>
      </c>
      <c r="C95" s="47" t="s">
        <v>477</v>
      </c>
      <c r="D95" s="47" t="s">
        <v>1262</v>
      </c>
      <c r="E95" s="50">
        <v>24</v>
      </c>
      <c r="F95" s="52" t="s">
        <v>1263</v>
      </c>
      <c r="G95" s="52" t="s">
        <v>1264</v>
      </c>
      <c r="H95" s="52" t="s">
        <v>1265</v>
      </c>
    </row>
    <row r="96" spans="1:8" ht="23.15">
      <c r="A96" s="55" t="s">
        <v>1432</v>
      </c>
      <c r="B96" s="44" t="s">
        <v>233</v>
      </c>
      <c r="C96" s="47" t="s">
        <v>477</v>
      </c>
      <c r="D96" s="47" t="s">
        <v>1473</v>
      </c>
      <c r="E96" s="50">
        <v>16</v>
      </c>
      <c r="F96" s="52" t="s">
        <v>1474</v>
      </c>
      <c r="G96" s="52" t="s">
        <v>1475</v>
      </c>
      <c r="H96" s="52" t="s">
        <v>1476</v>
      </c>
    </row>
    <row r="97" spans="1:8" ht="23.15">
      <c r="A97" s="55" t="s">
        <v>1180</v>
      </c>
      <c r="B97" s="44" t="s">
        <v>233</v>
      </c>
      <c r="C97" s="47" t="s">
        <v>477</v>
      </c>
      <c r="D97" s="47" t="s">
        <v>1213</v>
      </c>
      <c r="E97" s="50">
        <v>16</v>
      </c>
      <c r="F97" s="52" t="s">
        <v>1214</v>
      </c>
      <c r="G97" s="52" t="s">
        <v>1215</v>
      </c>
      <c r="H97" s="52" t="s">
        <v>1216</v>
      </c>
    </row>
    <row r="98" spans="1:8">
      <c r="A98" s="55" t="s">
        <v>28</v>
      </c>
      <c r="B98" s="44" t="s">
        <v>233</v>
      </c>
      <c r="C98" s="47" t="s">
        <v>477</v>
      </c>
      <c r="D98" s="47" t="s">
        <v>1286</v>
      </c>
      <c r="E98" s="50">
        <v>18</v>
      </c>
      <c r="F98" s="52" t="s">
        <v>1287</v>
      </c>
      <c r="G98" s="52" t="s">
        <v>1288</v>
      </c>
      <c r="H98" s="52" t="s">
        <v>1289</v>
      </c>
    </row>
    <row r="99" spans="1:8" ht="23.15">
      <c r="A99" s="55" t="s">
        <v>1432</v>
      </c>
      <c r="B99" s="44" t="s">
        <v>278</v>
      </c>
      <c r="C99" s="47" t="s">
        <v>477</v>
      </c>
      <c r="D99" s="47" t="s">
        <v>1497</v>
      </c>
      <c r="E99" s="50">
        <v>18</v>
      </c>
      <c r="F99" s="52" t="s">
        <v>1498</v>
      </c>
      <c r="G99" s="52" t="s">
        <v>1499</v>
      </c>
      <c r="H99" s="52" t="s">
        <v>1500</v>
      </c>
    </row>
    <row r="100" spans="1:8" ht="23.15">
      <c r="A100" s="55" t="s">
        <v>1229</v>
      </c>
      <c r="B100" s="44" t="s">
        <v>278</v>
      </c>
      <c r="C100" s="47" t="s">
        <v>477</v>
      </c>
      <c r="D100" s="47" t="s">
        <v>1238</v>
      </c>
      <c r="E100" s="50">
        <v>16</v>
      </c>
      <c r="F100" s="52" t="s">
        <v>1239</v>
      </c>
      <c r="G100" s="52" t="s">
        <v>1240</v>
      </c>
      <c r="H100" s="52" t="s">
        <v>1241</v>
      </c>
    </row>
    <row r="101" spans="1:8" ht="23.15">
      <c r="A101" s="55" t="s">
        <v>11</v>
      </c>
      <c r="B101" s="44" t="s">
        <v>177</v>
      </c>
      <c r="C101" s="47" t="s">
        <v>1338</v>
      </c>
      <c r="D101" s="47" t="s">
        <v>1339</v>
      </c>
      <c r="E101" s="50">
        <v>10</v>
      </c>
      <c r="F101" s="52" t="s">
        <v>1340</v>
      </c>
      <c r="G101" s="52" t="s">
        <v>1341</v>
      </c>
      <c r="H101" s="52" t="s">
        <v>1342</v>
      </c>
    </row>
    <row r="102" spans="1:8" ht="23.15">
      <c r="A102" s="55" t="s">
        <v>11</v>
      </c>
      <c r="B102" s="44" t="s">
        <v>233</v>
      </c>
      <c r="C102" s="47" t="s">
        <v>1338</v>
      </c>
      <c r="D102" s="47" t="s">
        <v>1359</v>
      </c>
      <c r="E102" s="50">
        <v>10</v>
      </c>
      <c r="F102" s="52" t="s">
        <v>1360</v>
      </c>
      <c r="G102" s="52" t="s">
        <v>1361</v>
      </c>
      <c r="H102" s="52" t="s">
        <v>1362</v>
      </c>
    </row>
    <row r="103" spans="1:8" ht="23.15">
      <c r="A103" s="55" t="s">
        <v>11</v>
      </c>
      <c r="B103" s="44" t="s">
        <v>278</v>
      </c>
      <c r="C103" s="47" t="s">
        <v>1338</v>
      </c>
      <c r="D103" s="47" t="s">
        <v>1379</v>
      </c>
      <c r="E103" s="50">
        <v>18</v>
      </c>
      <c r="F103" s="52" t="s">
        <v>1380</v>
      </c>
      <c r="G103" s="52" t="s">
        <v>1381</v>
      </c>
      <c r="H103" s="52" t="s">
        <v>1382</v>
      </c>
    </row>
    <row r="104" spans="1:8">
      <c r="A104" s="55" t="s">
        <v>3</v>
      </c>
      <c r="B104" s="44" t="s">
        <v>177</v>
      </c>
      <c r="C104" s="47" t="s">
        <v>223</v>
      </c>
      <c r="D104" s="47" t="s">
        <v>1075</v>
      </c>
      <c r="E104" s="50">
        <v>10</v>
      </c>
      <c r="F104" s="52" t="s">
        <v>1076</v>
      </c>
      <c r="G104" s="52" t="s">
        <v>1077</v>
      </c>
      <c r="H104" s="52" t="s">
        <v>1078</v>
      </c>
    </row>
    <row r="105" spans="1:8" ht="23.15">
      <c r="A105" s="55" t="s">
        <v>3</v>
      </c>
      <c r="B105" s="44" t="s">
        <v>233</v>
      </c>
      <c r="C105" s="47" t="s">
        <v>223</v>
      </c>
      <c r="D105" s="47" t="s">
        <v>1119</v>
      </c>
      <c r="E105" s="50">
        <v>8</v>
      </c>
      <c r="F105" s="52" t="s">
        <v>1120</v>
      </c>
      <c r="G105" s="52" t="s">
        <v>1121</v>
      </c>
      <c r="H105" s="52" t="s">
        <v>1122</v>
      </c>
    </row>
    <row r="106" spans="1:8">
      <c r="A106" s="55" t="s">
        <v>3</v>
      </c>
      <c r="B106" s="44" t="s">
        <v>278</v>
      </c>
      <c r="C106" s="47" t="s">
        <v>223</v>
      </c>
      <c r="D106" s="47" t="s">
        <v>1163</v>
      </c>
      <c r="E106" s="50">
        <v>8</v>
      </c>
      <c r="F106" s="52" t="s">
        <v>1164</v>
      </c>
      <c r="G106" s="52" t="s">
        <v>1165</v>
      </c>
      <c r="H106" s="52" t="s">
        <v>1166</v>
      </c>
    </row>
    <row r="107" spans="1:8" ht="23.15">
      <c r="A107" s="55" t="s">
        <v>28</v>
      </c>
      <c r="B107" s="44" t="s">
        <v>278</v>
      </c>
      <c r="C107" s="47" t="s">
        <v>223</v>
      </c>
      <c r="D107" s="47" t="s">
        <v>1314</v>
      </c>
      <c r="E107" s="50">
        <v>14</v>
      </c>
      <c r="F107" s="52" t="s">
        <v>1315</v>
      </c>
      <c r="G107" s="52" t="s">
        <v>1316</v>
      </c>
      <c r="H107" s="52" t="s">
        <v>1317</v>
      </c>
    </row>
    <row r="108" spans="1:8">
      <c r="A108" s="55" t="s">
        <v>1432</v>
      </c>
      <c r="B108" s="44" t="s">
        <v>177</v>
      </c>
      <c r="C108" s="47" t="s">
        <v>228</v>
      </c>
      <c r="D108" s="47" t="s">
        <v>1453</v>
      </c>
      <c r="E108" s="50">
        <v>9</v>
      </c>
      <c r="F108" s="52" t="s">
        <v>1454</v>
      </c>
      <c r="G108" s="52" t="s">
        <v>1455</v>
      </c>
      <c r="H108" s="52" t="s">
        <v>1456</v>
      </c>
    </row>
    <row r="109" spans="1:8" ht="23.15">
      <c r="A109" s="55" t="s">
        <v>3</v>
      </c>
      <c r="B109" s="44" t="s">
        <v>177</v>
      </c>
      <c r="C109" s="47" t="s">
        <v>228</v>
      </c>
      <c r="D109" s="47" t="s">
        <v>1079</v>
      </c>
      <c r="E109" s="50">
        <v>5</v>
      </c>
      <c r="F109" s="52" t="s">
        <v>1080</v>
      </c>
      <c r="G109" s="52" t="s">
        <v>1081</v>
      </c>
      <c r="H109" s="52" t="s">
        <v>1082</v>
      </c>
    </row>
    <row r="110" spans="1:8">
      <c r="A110" s="55" t="s">
        <v>1171</v>
      </c>
      <c r="B110" s="44" t="s">
        <v>177</v>
      </c>
      <c r="C110" s="47" t="s">
        <v>228</v>
      </c>
      <c r="D110" s="47" t="s">
        <v>1193</v>
      </c>
      <c r="E110" s="50">
        <v>6</v>
      </c>
      <c r="F110" s="52" t="s">
        <v>1194</v>
      </c>
      <c r="G110" s="52" t="s">
        <v>1195</v>
      </c>
      <c r="H110" s="52" t="s">
        <v>1196</v>
      </c>
    </row>
    <row r="111" spans="1:8" ht="23.15">
      <c r="A111" s="55" t="s">
        <v>28</v>
      </c>
      <c r="B111" s="44" t="s">
        <v>177</v>
      </c>
      <c r="C111" s="47" t="s">
        <v>228</v>
      </c>
      <c r="D111" s="47" t="s">
        <v>1266</v>
      </c>
      <c r="E111" s="50">
        <v>8</v>
      </c>
      <c r="F111" s="52" t="s">
        <v>1267</v>
      </c>
      <c r="G111" s="52" t="s">
        <v>1268</v>
      </c>
      <c r="H111" s="52" t="s">
        <v>1269</v>
      </c>
    </row>
    <row r="112" spans="1:8">
      <c r="A112" s="55" t="s">
        <v>1432</v>
      </c>
      <c r="B112" s="44" t="s">
        <v>233</v>
      </c>
      <c r="C112" s="47" t="s">
        <v>228</v>
      </c>
      <c r="D112" s="47" t="s">
        <v>1477</v>
      </c>
      <c r="E112" s="50">
        <v>8</v>
      </c>
      <c r="F112" s="52" t="s">
        <v>1478</v>
      </c>
      <c r="G112" s="52" t="s">
        <v>1479</v>
      </c>
      <c r="H112" s="52" t="s">
        <v>1480</v>
      </c>
    </row>
    <row r="113" spans="1:8" ht="23.15">
      <c r="A113" s="55" t="s">
        <v>3</v>
      </c>
      <c r="B113" s="44" t="s">
        <v>233</v>
      </c>
      <c r="C113" s="47" t="s">
        <v>228</v>
      </c>
      <c r="D113" s="47" t="s">
        <v>1123</v>
      </c>
      <c r="E113" s="50">
        <v>5</v>
      </c>
      <c r="F113" s="52" t="s">
        <v>1124</v>
      </c>
      <c r="G113" s="52" t="s">
        <v>1125</v>
      </c>
      <c r="H113" s="52" t="s">
        <v>1126</v>
      </c>
    </row>
    <row r="114" spans="1:8">
      <c r="A114" s="55" t="s">
        <v>1180</v>
      </c>
      <c r="B114" s="44" t="s">
        <v>233</v>
      </c>
      <c r="C114" s="47" t="s">
        <v>228</v>
      </c>
      <c r="D114" s="47" t="s">
        <v>1217</v>
      </c>
      <c r="E114" s="50">
        <v>8</v>
      </c>
      <c r="F114" s="52" t="s">
        <v>1218</v>
      </c>
      <c r="G114" s="52" t="s">
        <v>1219</v>
      </c>
      <c r="H114" s="52" t="s">
        <v>1220</v>
      </c>
    </row>
    <row r="115" spans="1:8" ht="23.15">
      <c r="A115" s="55" t="s">
        <v>28</v>
      </c>
      <c r="B115" s="44" t="s">
        <v>233</v>
      </c>
      <c r="C115" s="47" t="s">
        <v>228</v>
      </c>
      <c r="D115" s="47" t="s">
        <v>1290</v>
      </c>
      <c r="E115" s="50">
        <v>6</v>
      </c>
      <c r="F115" s="52" t="s">
        <v>1291</v>
      </c>
      <c r="G115" s="52" t="s">
        <v>1292</v>
      </c>
      <c r="H115" s="52" t="s">
        <v>1293</v>
      </c>
    </row>
    <row r="116" spans="1:8">
      <c r="A116" s="55" t="s">
        <v>1432</v>
      </c>
      <c r="B116" s="44" t="s">
        <v>278</v>
      </c>
      <c r="C116" s="47" t="s">
        <v>228</v>
      </c>
      <c r="D116" s="47" t="s">
        <v>1501</v>
      </c>
      <c r="E116" s="50">
        <v>10</v>
      </c>
      <c r="F116" s="52" t="s">
        <v>1502</v>
      </c>
      <c r="G116" s="52" t="s">
        <v>1503</v>
      </c>
      <c r="H116" s="52" t="s">
        <v>1504</v>
      </c>
    </row>
    <row r="117" spans="1:8" ht="23.15">
      <c r="A117" s="55" t="s">
        <v>3</v>
      </c>
      <c r="B117" s="44" t="s">
        <v>278</v>
      </c>
      <c r="C117" s="47" t="s">
        <v>228</v>
      </c>
      <c r="D117" s="47" t="s">
        <v>1167</v>
      </c>
      <c r="E117" s="50">
        <v>6</v>
      </c>
      <c r="F117" s="52" t="s">
        <v>1168</v>
      </c>
      <c r="G117" s="52" t="s">
        <v>1169</v>
      </c>
      <c r="H117" s="52" t="s">
        <v>1170</v>
      </c>
    </row>
    <row r="118" spans="1:8" ht="23.15">
      <c r="A118" s="55" t="s">
        <v>1229</v>
      </c>
      <c r="B118" s="44" t="s">
        <v>278</v>
      </c>
      <c r="C118" s="47" t="s">
        <v>228</v>
      </c>
      <c r="D118" s="47" t="s">
        <v>1242</v>
      </c>
      <c r="E118" s="50">
        <v>8</v>
      </c>
      <c r="F118" s="52" t="s">
        <v>1243</v>
      </c>
      <c r="G118" s="52" t="s">
        <v>1244</v>
      </c>
      <c r="H118" s="52" t="s">
        <v>1245</v>
      </c>
    </row>
    <row r="119" spans="1:8" ht="23.15">
      <c r="A119" s="55" t="s">
        <v>28</v>
      </c>
      <c r="B119" s="44" t="s">
        <v>278</v>
      </c>
      <c r="C119" s="47" t="s">
        <v>228</v>
      </c>
      <c r="D119" s="47" t="s">
        <v>1318</v>
      </c>
      <c r="E119" s="50">
        <v>10</v>
      </c>
      <c r="F119" s="52" t="s">
        <v>1319</v>
      </c>
      <c r="G119" s="52" t="s">
        <v>1320</v>
      </c>
      <c r="H119" s="52" t="s">
        <v>1321</v>
      </c>
    </row>
    <row r="120" spans="1:8">
      <c r="A120" s="55"/>
      <c r="B120" s="44"/>
      <c r="C120" s="47"/>
      <c r="D120" s="47"/>
      <c r="F120" s="52"/>
      <c r="G120" s="52"/>
      <c r="H120" s="52"/>
    </row>
    <row r="121" spans="1:8">
      <c r="A121" s="55"/>
      <c r="B121" s="44"/>
      <c r="C121" s="47"/>
      <c r="D121" s="47"/>
      <c r="F121" s="52"/>
      <c r="G121" s="52"/>
      <c r="H121" s="52"/>
    </row>
    <row r="122" spans="1:8">
      <c r="A122" s="55"/>
      <c r="B122" s="44"/>
      <c r="C122" s="47"/>
      <c r="D122" s="47"/>
      <c r="F122" s="52"/>
      <c r="G122" s="52"/>
      <c r="H122" s="52"/>
    </row>
    <row r="123" spans="1:8">
      <c r="A123" s="55"/>
      <c r="B123" s="44"/>
      <c r="C123" s="47"/>
      <c r="D123" s="47"/>
      <c r="F123" s="52"/>
      <c r="G123" s="52"/>
      <c r="H123" s="52"/>
    </row>
    <row r="124" spans="1:8">
      <c r="A124" s="55"/>
      <c r="B124" s="44"/>
      <c r="C124" s="47"/>
      <c r="D124" s="47"/>
      <c r="F124" s="52"/>
      <c r="G124" s="52"/>
      <c r="H124" s="52"/>
    </row>
    <row r="125" spans="1:8">
      <c r="A125" s="55"/>
      <c r="B125" s="44"/>
      <c r="C125" s="47"/>
      <c r="D125" s="47"/>
      <c r="F125" s="52"/>
      <c r="G125" s="52"/>
      <c r="H125" s="52"/>
    </row>
    <row r="126" spans="1:8">
      <c r="A126" s="55"/>
      <c r="B126" s="44"/>
      <c r="C126" s="47"/>
      <c r="D126" s="47"/>
      <c r="F126" s="52"/>
      <c r="G126" s="52"/>
      <c r="H126" s="52"/>
    </row>
    <row r="127" spans="1:8">
      <c r="A127" s="55"/>
      <c r="B127" s="44"/>
      <c r="C127" s="47"/>
      <c r="D127" s="47"/>
      <c r="F127" s="52"/>
      <c r="G127" s="52"/>
      <c r="H127" s="52"/>
    </row>
    <row r="128" spans="1:8">
      <c r="A128" s="55"/>
      <c r="B128" s="44"/>
      <c r="C128" s="47"/>
      <c r="D128" s="47"/>
      <c r="F128" s="52"/>
      <c r="G128" s="52"/>
      <c r="H128" s="52"/>
    </row>
    <row r="129" spans="1:8">
      <c r="A129" s="55"/>
      <c r="B129" s="44"/>
      <c r="C129" s="47"/>
      <c r="D129" s="47"/>
      <c r="F129" s="52"/>
      <c r="G129" s="52"/>
      <c r="H129" s="52"/>
    </row>
    <row r="130" spans="1:8">
      <c r="A130" s="55"/>
      <c r="B130" s="44"/>
      <c r="C130" s="47"/>
      <c r="D130" s="47"/>
      <c r="F130" s="52"/>
      <c r="G130" s="52"/>
      <c r="H130" s="52"/>
    </row>
    <row r="131" spans="1:8">
      <c r="A131" s="55"/>
      <c r="B131" s="44"/>
      <c r="C131" s="47"/>
      <c r="D131" s="47"/>
      <c r="F131" s="52"/>
      <c r="G131" s="52"/>
      <c r="H131" s="52"/>
    </row>
    <row r="132" spans="1:8">
      <c r="A132" s="55"/>
      <c r="B132" s="44"/>
      <c r="C132" s="47"/>
      <c r="D132" s="47"/>
      <c r="F132" s="52"/>
      <c r="G132" s="52"/>
      <c r="H132" s="52"/>
    </row>
    <row r="133" spans="1:8">
      <c r="A133" s="55"/>
      <c r="B133" s="44"/>
      <c r="C133" s="47"/>
      <c r="D133" s="47"/>
      <c r="F133" s="52"/>
      <c r="G133" s="52"/>
      <c r="H133" s="52"/>
    </row>
    <row r="134" spans="1:8">
      <c r="A134" s="55"/>
      <c r="B134" s="44"/>
      <c r="C134" s="47"/>
      <c r="D134" s="47"/>
      <c r="F134" s="52"/>
      <c r="G134" s="52"/>
      <c r="H134" s="52"/>
    </row>
    <row r="135" spans="1:8">
      <c r="A135" s="55"/>
      <c r="B135" s="44"/>
      <c r="C135" s="47"/>
      <c r="D135" s="47"/>
      <c r="F135" s="52"/>
      <c r="G135" s="52"/>
      <c r="H135" s="52"/>
    </row>
    <row r="136" spans="1:8">
      <c r="A136" s="55"/>
      <c r="B136" s="44"/>
      <c r="C136" s="47"/>
      <c r="D136" s="47"/>
      <c r="F136" s="52"/>
      <c r="G136" s="52"/>
      <c r="H136" s="52"/>
    </row>
    <row r="137" spans="1:8">
      <c r="A137" s="55"/>
      <c r="B137" s="44"/>
      <c r="C137" s="47"/>
      <c r="D137" s="47"/>
      <c r="F137" s="52"/>
      <c r="G137" s="52"/>
      <c r="H137" s="52"/>
    </row>
    <row r="138" spans="1:8">
      <c r="A138" s="55"/>
      <c r="B138" s="44"/>
      <c r="C138" s="47"/>
      <c r="D138" s="47"/>
      <c r="F138" s="52"/>
      <c r="G138" s="52"/>
      <c r="H138" s="52"/>
    </row>
    <row r="139" spans="1:8">
      <c r="A139" s="55"/>
      <c r="B139" s="44"/>
      <c r="C139" s="47"/>
      <c r="D139" s="47"/>
      <c r="F139" s="52"/>
      <c r="G139" s="52"/>
      <c r="H139" s="52"/>
    </row>
    <row r="140" spans="1:8">
      <c r="A140" s="55"/>
      <c r="B140" s="44"/>
      <c r="C140" s="47"/>
      <c r="D140" s="47"/>
      <c r="F140" s="52"/>
      <c r="G140" s="52"/>
      <c r="H140" s="52"/>
    </row>
    <row r="141" spans="1:8">
      <c r="A141" s="55"/>
      <c r="B141" s="44"/>
      <c r="C141" s="47"/>
      <c r="D141" s="47"/>
      <c r="F141" s="52"/>
      <c r="G141" s="52"/>
      <c r="H141" s="52"/>
    </row>
    <row r="142" spans="1:8">
      <c r="A142" s="55"/>
      <c r="B142" s="44"/>
      <c r="C142" s="47"/>
      <c r="D142" s="47"/>
      <c r="F142" s="52"/>
      <c r="G142" s="52"/>
      <c r="H142" s="52"/>
    </row>
    <row r="143" spans="1:8">
      <c r="A143" s="55"/>
      <c r="B143" s="44"/>
      <c r="C143" s="47"/>
      <c r="D143" s="47"/>
      <c r="F143" s="52"/>
      <c r="G143" s="52"/>
      <c r="H143" s="52"/>
    </row>
    <row r="144" spans="1:8">
      <c r="A144" s="55"/>
      <c r="B144" s="44"/>
      <c r="C144" s="47"/>
      <c r="D144" s="47"/>
      <c r="F144" s="52"/>
      <c r="G144" s="52"/>
      <c r="H144" s="52"/>
    </row>
    <row r="145" spans="1:8">
      <c r="A145" s="55"/>
      <c r="B145" s="44"/>
      <c r="C145" s="47"/>
      <c r="D145" s="47"/>
      <c r="F145" s="52"/>
      <c r="G145" s="52"/>
      <c r="H145" s="52"/>
    </row>
    <row r="146" spans="1:8">
      <c r="A146" s="55"/>
      <c r="B146" s="44"/>
      <c r="C146" s="47"/>
      <c r="D146" s="47"/>
      <c r="F146" s="52"/>
      <c r="G146" s="52"/>
      <c r="H146" s="52"/>
    </row>
    <row r="147" spans="1:8">
      <c r="A147" s="55"/>
      <c r="B147" s="44"/>
      <c r="C147" s="47"/>
      <c r="D147" s="47"/>
      <c r="F147" s="52"/>
      <c r="G147" s="52"/>
      <c r="H147" s="52"/>
    </row>
    <row r="148" spans="1:8">
      <c r="A148" s="55"/>
      <c r="B148" s="44"/>
      <c r="C148" s="47"/>
      <c r="D148" s="47"/>
      <c r="F148" s="52"/>
      <c r="G148" s="52"/>
      <c r="H148" s="52"/>
    </row>
    <row r="149" spans="1:8">
      <c r="A149" s="55"/>
      <c r="B149" s="44"/>
      <c r="C149" s="47"/>
      <c r="D149" s="47"/>
      <c r="F149" s="52"/>
      <c r="G149" s="52"/>
      <c r="H149" s="52"/>
    </row>
    <row r="150" spans="1:8">
      <c r="A150" s="55"/>
      <c r="B150" s="44"/>
      <c r="C150" s="47"/>
      <c r="D150" s="47"/>
      <c r="F150" s="52"/>
      <c r="G150" s="52"/>
      <c r="H150" s="52"/>
    </row>
    <row r="151" spans="1:8">
      <c r="A151" s="55"/>
      <c r="B151" s="44"/>
      <c r="C151" s="47"/>
      <c r="D151" s="47"/>
      <c r="F151" s="52"/>
      <c r="G151" s="52"/>
      <c r="H151" s="52"/>
    </row>
    <row r="152" spans="1:8">
      <c r="A152" s="55"/>
      <c r="B152" s="44"/>
      <c r="C152" s="47"/>
      <c r="D152" s="47"/>
      <c r="F152" s="52"/>
      <c r="G152" s="52"/>
      <c r="H152" s="52"/>
    </row>
    <row r="153" spans="1:8">
      <c r="A153" s="55"/>
      <c r="B153" s="44"/>
      <c r="C153" s="47"/>
      <c r="D153" s="47"/>
      <c r="F153" s="52"/>
      <c r="G153" s="52"/>
      <c r="H153" s="52"/>
    </row>
    <row r="154" spans="1:8">
      <c r="A154" s="55"/>
      <c r="B154" s="44"/>
      <c r="C154" s="47"/>
      <c r="D154" s="47"/>
      <c r="F154" s="52"/>
      <c r="G154" s="52"/>
      <c r="H154" s="52"/>
    </row>
    <row r="155" spans="1:8">
      <c r="A155" s="55"/>
      <c r="B155" s="44"/>
      <c r="C155" s="47"/>
      <c r="D155" s="47"/>
      <c r="F155" s="52"/>
      <c r="G155" s="52"/>
      <c r="H155" s="52"/>
    </row>
    <row r="156" spans="1:8">
      <c r="A156" s="55"/>
      <c r="B156" s="44"/>
      <c r="C156" s="47"/>
      <c r="D156" s="47"/>
      <c r="F156" s="52"/>
      <c r="G156" s="52"/>
      <c r="H156" s="52"/>
    </row>
    <row r="157" spans="1:8">
      <c r="A157" s="55"/>
      <c r="B157" s="44"/>
      <c r="C157" s="47"/>
      <c r="D157" s="47"/>
      <c r="F157" s="52"/>
      <c r="G157" s="52"/>
      <c r="H157" s="52"/>
    </row>
    <row r="158" spans="1:8">
      <c r="A158" s="55"/>
      <c r="B158" s="44"/>
      <c r="C158" s="47"/>
      <c r="D158" s="47"/>
      <c r="F158" s="52"/>
      <c r="G158" s="52"/>
      <c r="H158" s="52"/>
    </row>
    <row r="159" spans="1:8">
      <c r="A159" s="55"/>
      <c r="B159" s="44"/>
      <c r="C159" s="47"/>
      <c r="D159" s="47"/>
      <c r="F159" s="52"/>
      <c r="G159" s="52"/>
      <c r="H159" s="52"/>
    </row>
    <row r="160" spans="1:8">
      <c r="A160" s="55"/>
      <c r="B160" s="44"/>
      <c r="C160" s="47"/>
      <c r="D160" s="47"/>
      <c r="F160" s="52"/>
      <c r="G160" s="52"/>
      <c r="H160" s="52"/>
    </row>
    <row r="161" spans="1:8">
      <c r="A161" s="55"/>
      <c r="B161" s="44"/>
      <c r="C161" s="47"/>
      <c r="D161" s="47"/>
      <c r="F161" s="52"/>
      <c r="G161" s="52"/>
      <c r="H161" s="52"/>
    </row>
    <row r="162" spans="1:8">
      <c r="A162" s="55"/>
      <c r="B162" s="44"/>
      <c r="C162" s="47"/>
      <c r="D162" s="47"/>
      <c r="F162" s="52"/>
      <c r="G162" s="52"/>
      <c r="H162" s="52"/>
    </row>
    <row r="163" spans="1:8">
      <c r="A163" s="55"/>
      <c r="B163" s="44"/>
      <c r="C163" s="47"/>
      <c r="D163" s="47"/>
      <c r="F163" s="52"/>
      <c r="G163" s="52"/>
      <c r="H163" s="52"/>
    </row>
    <row r="164" spans="1:8">
      <c r="A164" s="55"/>
      <c r="B164" s="44"/>
      <c r="C164" s="47"/>
      <c r="D164" s="47"/>
      <c r="F164" s="52"/>
      <c r="G164" s="52"/>
      <c r="H164" s="52"/>
    </row>
    <row r="165" spans="1:8">
      <c r="A165" s="55"/>
      <c r="B165" s="44"/>
      <c r="C165" s="47"/>
      <c r="D165" s="47"/>
      <c r="F165" s="52"/>
      <c r="G165" s="52"/>
      <c r="H165" s="52"/>
    </row>
    <row r="166" spans="1:8">
      <c r="A166" s="55"/>
      <c r="B166" s="44"/>
      <c r="C166" s="47"/>
      <c r="D166" s="47"/>
      <c r="F166" s="52"/>
      <c r="G166" s="52"/>
      <c r="H166" s="52"/>
    </row>
    <row r="167" spans="1:8">
      <c r="A167" s="55"/>
      <c r="B167" s="44"/>
      <c r="C167" s="47"/>
      <c r="D167" s="47"/>
      <c r="F167" s="52"/>
      <c r="G167" s="52"/>
      <c r="H167" s="52"/>
    </row>
    <row r="168" spans="1:8">
      <c r="A168" s="55"/>
      <c r="B168" s="44"/>
      <c r="C168" s="47"/>
      <c r="D168" s="47"/>
      <c r="F168" s="52"/>
      <c r="G168" s="52"/>
      <c r="H168" s="52"/>
    </row>
    <row r="169" spans="1:8">
      <c r="A169" s="55"/>
      <c r="B169" s="44"/>
      <c r="C169" s="47"/>
      <c r="D169" s="47"/>
      <c r="F169" s="52"/>
      <c r="G169" s="52"/>
      <c r="H169" s="52"/>
    </row>
    <row r="170" spans="1:8">
      <c r="A170" s="55"/>
      <c r="B170" s="44"/>
      <c r="C170" s="47"/>
      <c r="D170" s="47"/>
      <c r="F170" s="52"/>
      <c r="G170" s="52"/>
      <c r="H170" s="52"/>
    </row>
    <row r="171" spans="1:8">
      <c r="A171" s="55"/>
      <c r="B171" s="44"/>
      <c r="C171" s="47"/>
      <c r="D171" s="47"/>
      <c r="F171" s="52"/>
      <c r="G171" s="52"/>
      <c r="H171" s="52"/>
    </row>
    <row r="172" spans="1:8">
      <c r="A172" s="55"/>
      <c r="B172" s="44"/>
      <c r="C172" s="47"/>
      <c r="D172" s="47"/>
      <c r="F172" s="52"/>
      <c r="G172" s="52"/>
      <c r="H172" s="52"/>
    </row>
    <row r="173" spans="1:8">
      <c r="A173" s="55"/>
      <c r="B173" s="44"/>
      <c r="C173" s="47"/>
      <c r="D173" s="47"/>
      <c r="F173" s="52"/>
      <c r="G173" s="52"/>
      <c r="H173" s="52"/>
    </row>
    <row r="174" spans="1:8">
      <c r="A174" s="55"/>
      <c r="B174" s="44"/>
      <c r="C174" s="47"/>
      <c r="D174" s="47"/>
      <c r="F174" s="52"/>
      <c r="G174" s="52"/>
      <c r="H174" s="52"/>
    </row>
    <row r="175" spans="1:8">
      <c r="A175" s="55"/>
      <c r="B175" s="44"/>
      <c r="C175" s="47"/>
      <c r="D175" s="47"/>
      <c r="F175" s="52"/>
      <c r="G175" s="52"/>
      <c r="H175" s="52"/>
    </row>
    <row r="176" spans="1:8">
      <c r="A176" s="55"/>
      <c r="B176" s="44"/>
      <c r="C176" s="47"/>
      <c r="D176" s="47"/>
      <c r="F176" s="52"/>
      <c r="G176" s="52"/>
      <c r="H176" s="52"/>
    </row>
    <row r="177" spans="1:8">
      <c r="A177" s="55"/>
      <c r="B177" s="44"/>
      <c r="C177" s="47"/>
      <c r="D177" s="47"/>
      <c r="F177" s="52"/>
      <c r="G177" s="52"/>
      <c r="H177" s="52"/>
    </row>
    <row r="178" spans="1:8">
      <c r="A178" s="55"/>
      <c r="B178" s="44"/>
      <c r="C178" s="47"/>
      <c r="D178" s="47"/>
      <c r="F178" s="52"/>
      <c r="G178" s="52"/>
      <c r="H178" s="52"/>
    </row>
    <row r="179" spans="1:8">
      <c r="A179" s="55"/>
      <c r="B179" s="44"/>
      <c r="C179" s="47"/>
      <c r="D179" s="47"/>
      <c r="F179" s="52"/>
      <c r="G179" s="52"/>
      <c r="H179" s="52"/>
    </row>
    <row r="180" spans="1:8">
      <c r="A180" s="55"/>
      <c r="B180" s="44"/>
      <c r="C180" s="47"/>
      <c r="D180" s="47"/>
      <c r="F180" s="52"/>
      <c r="G180" s="52"/>
      <c r="H180" s="52"/>
    </row>
    <row r="181" spans="1:8">
      <c r="A181" s="55"/>
      <c r="B181" s="44"/>
      <c r="C181" s="47"/>
      <c r="D181" s="47"/>
      <c r="F181" s="52"/>
      <c r="G181" s="52"/>
      <c r="H181" s="52"/>
    </row>
    <row r="182" spans="1:8">
      <c r="A182" s="55"/>
      <c r="B182" s="44"/>
      <c r="C182" s="47"/>
      <c r="D182" s="47"/>
      <c r="F182" s="52"/>
      <c r="G182" s="52"/>
      <c r="H182" s="52"/>
    </row>
    <row r="183" spans="1:8">
      <c r="A183" s="55"/>
      <c r="B183" s="44"/>
      <c r="C183" s="47"/>
      <c r="D183" s="47"/>
      <c r="F183" s="52"/>
      <c r="G183" s="52"/>
      <c r="H183" s="52"/>
    </row>
    <row r="184" spans="1:8">
      <c r="A184" s="55"/>
      <c r="B184" s="44"/>
      <c r="C184" s="47"/>
      <c r="D184" s="47"/>
      <c r="F184" s="52"/>
      <c r="G184" s="52"/>
      <c r="H184" s="52"/>
    </row>
    <row r="185" spans="1:8">
      <c r="A185" s="55"/>
      <c r="B185" s="44"/>
      <c r="C185" s="47"/>
      <c r="D185" s="47"/>
      <c r="F185" s="52"/>
      <c r="G185" s="52"/>
      <c r="H185" s="52"/>
    </row>
    <row r="186" spans="1:8">
      <c r="A186" s="55"/>
      <c r="B186" s="44"/>
      <c r="C186" s="47"/>
      <c r="D186" s="47"/>
      <c r="F186" s="52"/>
      <c r="G186" s="52"/>
      <c r="H186" s="52"/>
    </row>
    <row r="187" spans="1:8">
      <c r="A187" s="55"/>
      <c r="B187" s="44"/>
      <c r="C187" s="47"/>
      <c r="D187" s="47"/>
      <c r="F187" s="52"/>
      <c r="G187" s="52"/>
      <c r="H187" s="52"/>
    </row>
    <row r="188" spans="1:8">
      <c r="A188" s="55"/>
      <c r="B188" s="44"/>
      <c r="C188" s="47"/>
      <c r="D188" s="47"/>
      <c r="F188" s="52"/>
      <c r="G188" s="52"/>
      <c r="H188" s="52"/>
    </row>
    <row r="189" spans="1:8">
      <c r="A189" s="55"/>
      <c r="B189" s="44"/>
      <c r="C189" s="47"/>
      <c r="D189" s="47"/>
      <c r="F189" s="52"/>
      <c r="G189" s="52"/>
      <c r="H189" s="52"/>
    </row>
    <row r="190" spans="1:8">
      <c r="A190" s="55"/>
      <c r="B190" s="44"/>
      <c r="C190" s="47"/>
      <c r="D190" s="47"/>
      <c r="F190" s="52"/>
      <c r="G190" s="52"/>
      <c r="H190" s="52"/>
    </row>
    <row r="191" spans="1:8">
      <c r="A191" s="55"/>
      <c r="B191" s="44"/>
      <c r="C191" s="47"/>
      <c r="D191" s="47"/>
      <c r="F191" s="52"/>
      <c r="G191" s="52"/>
      <c r="H191" s="52"/>
    </row>
    <row r="192" spans="1:8">
      <c r="A192" s="55"/>
      <c r="B192" s="44"/>
      <c r="C192" s="47"/>
      <c r="D192" s="47"/>
      <c r="F192" s="52"/>
      <c r="G192" s="52"/>
      <c r="H192" s="52"/>
    </row>
    <row r="193" spans="1:8">
      <c r="A193" s="55"/>
      <c r="B193" s="44"/>
      <c r="C193" s="47"/>
      <c r="D193" s="47"/>
      <c r="F193" s="52"/>
      <c r="G193" s="52"/>
      <c r="H193" s="52"/>
    </row>
    <row r="194" spans="1:8">
      <c r="A194" s="55"/>
      <c r="B194" s="44"/>
      <c r="C194" s="47"/>
      <c r="D194" s="47"/>
      <c r="F194" s="52"/>
      <c r="G194" s="52"/>
      <c r="H194" s="52"/>
    </row>
    <row r="195" spans="1:8">
      <c r="A195" s="55"/>
      <c r="B195" s="44"/>
      <c r="C195" s="47"/>
      <c r="D195" s="47"/>
      <c r="F195" s="52"/>
      <c r="G195" s="52"/>
      <c r="H195" s="52"/>
    </row>
    <row r="196" spans="1:8">
      <c r="A196" s="55"/>
      <c r="B196" s="44"/>
      <c r="C196" s="47"/>
      <c r="D196" s="47"/>
      <c r="F196" s="52"/>
      <c r="G196" s="52"/>
      <c r="H196" s="52"/>
    </row>
    <row r="197" spans="1:8">
      <c r="A197" s="55"/>
      <c r="B197" s="44"/>
      <c r="C197" s="47"/>
      <c r="D197" s="47"/>
      <c r="F197" s="52"/>
      <c r="G197" s="52"/>
      <c r="H197" s="52"/>
    </row>
    <row r="198" spans="1:8">
      <c r="A198" s="55"/>
      <c r="B198" s="44"/>
      <c r="C198" s="47"/>
      <c r="D198" s="47"/>
      <c r="F198" s="52"/>
      <c r="G198" s="52"/>
      <c r="H198" s="52"/>
    </row>
    <row r="199" spans="1:8">
      <c r="A199" s="55"/>
      <c r="B199" s="44"/>
      <c r="C199" s="47"/>
      <c r="D199" s="47"/>
      <c r="F199" s="52"/>
      <c r="G199" s="52"/>
      <c r="H199" s="52"/>
    </row>
    <row r="200" spans="1:8">
      <c r="A200" s="55"/>
      <c r="B200" s="44"/>
      <c r="C200" s="47"/>
      <c r="D200" s="47"/>
      <c r="F200" s="52"/>
      <c r="G200" s="52"/>
      <c r="H200" s="52"/>
    </row>
    <row r="201" spans="1:8">
      <c r="A201" s="55"/>
      <c r="B201" s="44"/>
      <c r="C201" s="47"/>
      <c r="D201" s="47"/>
      <c r="F201" s="52"/>
      <c r="G201" s="52"/>
      <c r="H201" s="52"/>
    </row>
    <row r="202" spans="1:8">
      <c r="A202" s="55"/>
      <c r="B202" s="44"/>
      <c r="C202" s="47"/>
      <c r="D202" s="47"/>
      <c r="F202" s="52"/>
      <c r="G202" s="52"/>
      <c r="H202" s="52"/>
    </row>
    <row r="203" spans="1:8">
      <c r="A203" s="55"/>
      <c r="B203" s="44"/>
      <c r="C203" s="47"/>
      <c r="D203" s="47"/>
      <c r="F203" s="52"/>
      <c r="G203" s="52"/>
      <c r="H203" s="52"/>
    </row>
    <row r="204" spans="1:8">
      <c r="A204" s="55"/>
      <c r="B204" s="44"/>
      <c r="C204" s="47"/>
      <c r="D204" s="47"/>
      <c r="F204" s="52"/>
      <c r="G204" s="52"/>
      <c r="H204" s="52"/>
    </row>
    <row r="205" spans="1:8">
      <c r="A205" s="55"/>
      <c r="B205" s="44"/>
      <c r="C205" s="47"/>
      <c r="D205" s="47"/>
      <c r="F205" s="52"/>
      <c r="G205" s="52"/>
      <c r="H205" s="52"/>
    </row>
    <row r="206" spans="1:8">
      <c r="A206" s="55"/>
      <c r="B206" s="44"/>
      <c r="C206" s="47"/>
      <c r="D206" s="47"/>
      <c r="F206" s="52"/>
      <c r="G206" s="52"/>
      <c r="H206" s="52"/>
    </row>
    <row r="207" spans="1:8">
      <c r="A207" s="55"/>
      <c r="B207" s="44"/>
      <c r="C207" s="47"/>
      <c r="D207" s="47"/>
      <c r="F207" s="52"/>
      <c r="G207" s="52"/>
      <c r="H207" s="52"/>
    </row>
    <row r="208" spans="1:8">
      <c r="A208" s="55"/>
      <c r="B208" s="44"/>
      <c r="C208" s="47"/>
      <c r="D208" s="47"/>
      <c r="F208" s="52"/>
      <c r="G208" s="52"/>
      <c r="H208" s="52"/>
    </row>
    <row r="209" spans="1:8">
      <c r="A209" s="55"/>
      <c r="B209" s="44"/>
      <c r="C209" s="47"/>
      <c r="D209" s="47"/>
      <c r="F209" s="52"/>
      <c r="G209" s="52"/>
      <c r="H209" s="52"/>
    </row>
    <row r="210" spans="1:8">
      <c r="A210" s="55"/>
      <c r="B210" s="44"/>
      <c r="C210" s="47"/>
      <c r="D210" s="47"/>
      <c r="F210" s="52"/>
      <c r="G210" s="52"/>
      <c r="H210" s="52"/>
    </row>
  </sheetData>
  <autoFilter ref="A1:H1" xr:uid="{851C06CE-2F50-454E-8B67-CE2FF80A358E}"/>
  <sortState xmlns:xlrd2="http://schemas.microsoft.com/office/spreadsheetml/2017/richdata2" ref="A2:H119">
    <sortCondition ref="C2:C119"/>
    <sortCondition ref="B2:B119"/>
    <sortCondition ref="A2:A119"/>
  </sortState>
  <phoneticPr fontId="2"/>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小学校</vt:lpstr>
      <vt:lpstr>中学校</vt:lpstr>
      <vt:lpstr>小学単元</vt:lpstr>
      <vt:lpstr>中学単元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Knight001 Jedi</dc:creator>
  <cp:lastModifiedBy>Jedi-Knight001</cp:lastModifiedBy>
  <cp:lastPrinted>2026-09-26T09:39:48Z</cp:lastPrinted>
  <dcterms:created xsi:type="dcterms:W3CDTF">2015-06-05T18:19:34Z</dcterms:created>
  <dcterms:modified xsi:type="dcterms:W3CDTF">2026-09-27T13:57:55Z</dcterms:modified>
</cp:coreProperties>
</file>